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ha\OneDrive\Documents\coding\drillbench2\datasource\"/>
    </mc:Choice>
  </mc:AlternateContent>
  <xr:revisionPtr revIDLastSave="0" documentId="8_{DB4BF01E-6A1C-4C69-A40A-861B95696092}" xr6:coauthVersionLast="47" xr6:coauthVersionMax="47" xr10:uidLastSave="{00000000-0000-0000-0000-000000000000}"/>
  <bookViews>
    <workbookView xWindow="28680" yWindow="-120" windowWidth="29040" windowHeight="15720" xr2:uid="{8DC31C83-C789-4048-B80D-C996232396E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86" i="1" l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O171" i="1"/>
  <c r="L171" i="1" s="1"/>
  <c r="L170" i="1"/>
  <c r="Y169" i="1"/>
  <c r="X169" i="1"/>
  <c r="L169" i="1"/>
  <c r="Y168" i="1"/>
  <c r="X168" i="1"/>
  <c r="O168" i="1"/>
  <c r="L168" i="1"/>
  <c r="Y167" i="1"/>
  <c r="O167" i="1" s="1"/>
  <c r="X167" i="1"/>
  <c r="L167" i="1"/>
  <c r="L166" i="1"/>
  <c r="O165" i="1"/>
  <c r="L165" i="1"/>
  <c r="L164" i="1"/>
  <c r="L163" i="1"/>
  <c r="L162" i="1"/>
  <c r="L161" i="1"/>
  <c r="Y160" i="1"/>
  <c r="O160" i="1" s="1"/>
  <c r="X160" i="1"/>
  <c r="L160" i="1"/>
  <c r="L159" i="1"/>
  <c r="L158" i="1"/>
  <c r="L157" i="1"/>
  <c r="L154" i="1"/>
  <c r="L153" i="1"/>
  <c r="L152" i="1"/>
  <c r="O151" i="1"/>
  <c r="L151" i="1"/>
  <c r="O150" i="1"/>
  <c r="L150" i="1" s="1"/>
  <c r="L149" i="1"/>
  <c r="O148" i="1"/>
  <c r="L148" i="1"/>
  <c r="O147" i="1"/>
  <c r="L147" i="1"/>
  <c r="L146" i="1"/>
  <c r="L145" i="1"/>
  <c r="O144" i="1"/>
  <c r="L144" i="1"/>
  <c r="L143" i="1"/>
  <c r="L142" i="1"/>
  <c r="O141" i="1"/>
  <c r="L141" i="1" s="1"/>
  <c r="O140" i="1"/>
  <c r="L140" i="1"/>
  <c r="O139" i="1"/>
  <c r="L139" i="1"/>
  <c r="O138" i="1"/>
  <c r="L138" i="1"/>
  <c r="L137" i="1"/>
  <c r="L136" i="1"/>
  <c r="O135" i="1"/>
  <c r="L135" i="1" s="1"/>
  <c r="O134" i="1"/>
  <c r="L134" i="1" s="1"/>
  <c r="O133" i="1"/>
  <c r="L133" i="1"/>
  <c r="O132" i="1"/>
  <c r="L132" i="1"/>
  <c r="O131" i="1"/>
  <c r="L131" i="1"/>
  <c r="O130" i="1"/>
  <c r="L130" i="1"/>
  <c r="O129" i="1"/>
  <c r="L129" i="1" s="1"/>
  <c r="O128" i="1"/>
  <c r="L128" i="1" s="1"/>
  <c r="O127" i="1"/>
  <c r="L127" i="1"/>
  <c r="O126" i="1"/>
  <c r="L126" i="1"/>
  <c r="O125" i="1"/>
  <c r="L125" i="1"/>
  <c r="O124" i="1"/>
  <c r="L124" i="1"/>
  <c r="O123" i="1"/>
  <c r="L123" i="1" s="1"/>
  <c r="O122" i="1"/>
  <c r="L122" i="1" s="1"/>
  <c r="O121" i="1"/>
  <c r="L121" i="1"/>
  <c r="Y120" i="1"/>
  <c r="X120" i="1"/>
  <c r="L120" i="1"/>
  <c r="X119" i="1"/>
  <c r="O118" i="1"/>
  <c r="X114" i="1"/>
  <c r="O114" i="1"/>
  <c r="L114" i="1"/>
  <c r="X113" i="1"/>
  <c r="O113" i="1" s="1"/>
  <c r="L113" i="1"/>
  <c r="L112" i="1"/>
  <c r="L111" i="1"/>
  <c r="L110" i="1"/>
  <c r="L109" i="1"/>
  <c r="Y108" i="1"/>
  <c r="X108" i="1"/>
  <c r="O108" i="1"/>
  <c r="L108" i="1"/>
  <c r="L107" i="1"/>
  <c r="L106" i="1"/>
  <c r="O105" i="1"/>
  <c r="L105" i="1"/>
  <c r="O104" i="1"/>
  <c r="L104" i="1"/>
  <c r="L103" i="1"/>
  <c r="Y102" i="1"/>
  <c r="X102" i="1"/>
  <c r="O102" i="1"/>
  <c r="L102" i="1"/>
  <c r="L101" i="1"/>
  <c r="L100" i="1"/>
  <c r="L99" i="1"/>
  <c r="L98" i="1"/>
  <c r="X97" i="1"/>
  <c r="L97" i="1"/>
  <c r="L91" i="1"/>
  <c r="X90" i="1"/>
  <c r="L90" i="1"/>
  <c r="O89" i="1"/>
  <c r="L89" i="1"/>
  <c r="O88" i="1"/>
  <c r="L88" i="1"/>
  <c r="O87" i="1"/>
  <c r="L87" i="1"/>
  <c r="O86" i="1"/>
  <c r="L86" i="1" s="1"/>
  <c r="O85" i="1"/>
  <c r="L85" i="1" s="1"/>
  <c r="O84" i="1"/>
  <c r="L84" i="1"/>
  <c r="L83" i="1"/>
  <c r="L82" i="1"/>
  <c r="L81" i="1"/>
  <c r="A81" i="1"/>
  <c r="L80" i="1"/>
  <c r="A80" i="1"/>
  <c r="L79" i="1"/>
  <c r="A79" i="1"/>
  <c r="L78" i="1"/>
  <c r="A78" i="1"/>
  <c r="L77" i="1"/>
  <c r="A77" i="1"/>
  <c r="L76" i="1"/>
  <c r="A76" i="1"/>
  <c r="L75" i="1"/>
  <c r="A75" i="1"/>
  <c r="L74" i="1"/>
  <c r="A74" i="1"/>
  <c r="L73" i="1"/>
  <c r="A73" i="1"/>
  <c r="L72" i="1"/>
  <c r="A72" i="1"/>
  <c r="L71" i="1"/>
  <c r="A71" i="1"/>
  <c r="L70" i="1"/>
  <c r="A70" i="1"/>
  <c r="L69" i="1"/>
  <c r="A69" i="1"/>
  <c r="L68" i="1"/>
  <c r="A68" i="1"/>
  <c r="L67" i="1"/>
  <c r="A67" i="1"/>
  <c r="L66" i="1"/>
  <c r="A66" i="1"/>
  <c r="L65" i="1"/>
  <c r="A65" i="1"/>
  <c r="X64" i="1"/>
  <c r="L64" i="1"/>
  <c r="A64" i="1"/>
  <c r="N63" i="1"/>
  <c r="M63" i="1"/>
  <c r="A63" i="1"/>
  <c r="L62" i="1"/>
  <c r="A62" i="1"/>
  <c r="L61" i="1"/>
  <c r="A61" i="1"/>
  <c r="L60" i="1"/>
  <c r="A60" i="1"/>
  <c r="L59" i="1"/>
  <c r="A59" i="1"/>
  <c r="L58" i="1"/>
  <c r="A58" i="1"/>
  <c r="L57" i="1"/>
  <c r="A57" i="1"/>
  <c r="L56" i="1"/>
  <c r="A56" i="1"/>
  <c r="L55" i="1"/>
  <c r="A55" i="1"/>
  <c r="L54" i="1"/>
  <c r="A54" i="1"/>
  <c r="L53" i="1"/>
  <c r="A53" i="1"/>
  <c r="L52" i="1"/>
  <c r="A52" i="1"/>
  <c r="L51" i="1"/>
  <c r="A51" i="1"/>
  <c r="L50" i="1"/>
  <c r="A50" i="1"/>
  <c r="L49" i="1"/>
  <c r="A49" i="1"/>
  <c r="L48" i="1"/>
  <c r="A48" i="1"/>
  <c r="L47" i="1"/>
  <c r="A47" i="1"/>
  <c r="L46" i="1"/>
  <c r="A46" i="1"/>
  <c r="L45" i="1"/>
  <c r="A45" i="1"/>
  <c r="L44" i="1"/>
  <c r="A44" i="1"/>
  <c r="L43" i="1"/>
  <c r="A43" i="1"/>
  <c r="L42" i="1"/>
  <c r="A42" i="1"/>
  <c r="L41" i="1"/>
  <c r="A41" i="1"/>
  <c r="L40" i="1"/>
  <c r="A40" i="1"/>
  <c r="L39" i="1"/>
  <c r="A39" i="1"/>
  <c r="L38" i="1"/>
  <c r="A38" i="1"/>
  <c r="L37" i="1"/>
  <c r="A37" i="1"/>
  <c r="L36" i="1"/>
  <c r="A36" i="1"/>
  <c r="L35" i="1"/>
  <c r="A35" i="1"/>
  <c r="L34" i="1"/>
  <c r="A34" i="1"/>
  <c r="L33" i="1"/>
  <c r="A33" i="1"/>
  <c r="L32" i="1"/>
  <c r="A32" i="1"/>
  <c r="L31" i="1"/>
  <c r="A31" i="1"/>
  <c r="L30" i="1"/>
  <c r="A30" i="1"/>
  <c r="L29" i="1"/>
  <c r="A29" i="1"/>
  <c r="L28" i="1"/>
  <c r="A28" i="1"/>
  <c r="L27" i="1"/>
  <c r="A27" i="1"/>
  <c r="L26" i="1"/>
  <c r="A26" i="1"/>
  <c r="L25" i="1"/>
  <c r="A25" i="1"/>
  <c r="L24" i="1"/>
  <c r="A24" i="1"/>
  <c r="L23" i="1"/>
  <c r="A23" i="1"/>
  <c r="L22" i="1"/>
  <c r="A22" i="1"/>
  <c r="L21" i="1"/>
  <c r="A21" i="1"/>
  <c r="L20" i="1"/>
  <c r="A20" i="1"/>
  <c r="L19" i="1"/>
  <c r="J19" i="1"/>
  <c r="A19" i="1"/>
  <c r="L18" i="1"/>
  <c r="A18" i="1"/>
  <c r="L17" i="1"/>
  <c r="A17" i="1"/>
  <c r="L16" i="1"/>
  <c r="A16" i="1"/>
  <c r="L15" i="1"/>
  <c r="A15" i="1"/>
  <c r="L14" i="1"/>
  <c r="A14" i="1"/>
  <c r="L13" i="1"/>
  <c r="A13" i="1"/>
  <c r="L12" i="1"/>
  <c r="A12" i="1"/>
  <c r="L11" i="1"/>
  <c r="A11" i="1"/>
  <c r="Y10" i="1"/>
  <c r="O10" i="1" s="1"/>
  <c r="L10" i="1" s="1"/>
  <c r="A10" i="1"/>
  <c r="O9" i="1"/>
  <c r="L9" i="1"/>
  <c r="A9" i="1"/>
  <c r="O8" i="1"/>
  <c r="L8" i="1"/>
  <c r="A8" i="1"/>
  <c r="O7" i="1"/>
  <c r="L7" i="1"/>
  <c r="A7" i="1"/>
  <c r="O6" i="1"/>
  <c r="L6" i="1"/>
  <c r="A6" i="1"/>
  <c r="L5" i="1"/>
  <c r="A5" i="1"/>
  <c r="O4" i="1"/>
  <c r="L4" i="1" s="1"/>
  <c r="A4" i="1"/>
  <c r="L3" i="1"/>
  <c r="A3" i="1"/>
  <c r="L2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 Hamilton</author>
  </authors>
  <commentList>
    <comment ref="L176" authorId="0" shapeId="0" xr:uid="{EE50C1CF-BA87-4FE7-9A59-386D69DF5E99}">
      <text>
        <r>
          <rPr>
            <b/>
            <sz val="9"/>
            <color indexed="81"/>
            <rFont val="Tahoma"/>
            <family val="2"/>
          </rPr>
          <t>Rob Hamilton:</t>
        </r>
        <r>
          <rPr>
            <sz val="9"/>
            <color indexed="81"/>
            <rFont val="Tahoma"/>
            <family val="2"/>
          </rPr>
          <t xml:space="preserve">
need to revise #ft based on tapered tube volume</t>
        </r>
      </text>
    </comment>
  </commentList>
</comments>
</file>

<file path=xl/sharedStrings.xml><?xml version="1.0" encoding="utf-8"?>
<sst xmlns="http://schemas.openxmlformats.org/spreadsheetml/2006/main" count="281" uniqueCount="78">
  <si>
    <t>Pipe Name</t>
  </si>
  <si>
    <t>Pipe OD (in.)</t>
  </si>
  <si>
    <t>Pipe ID (in.)</t>
  </si>
  <si>
    <t>Act. Wt. (lb/ft)</t>
  </si>
  <si>
    <t>TJ TYPE</t>
  </si>
  <si>
    <t>Nom. Wt. (lb/ft)</t>
  </si>
  <si>
    <t>TJ OD (in.)</t>
  </si>
  <si>
    <t>TJ ID (in.)</t>
  </si>
  <si>
    <t>Pipe Grade</t>
  </si>
  <si>
    <t>Stab OD</t>
  </si>
  <si>
    <t>Stb Position</t>
  </si>
  <si>
    <t>Stb Type</t>
  </si>
  <si>
    <t>XO to</t>
  </si>
  <si>
    <t>Length (ft)</t>
  </si>
  <si>
    <t>Weight (lbs)</t>
  </si>
  <si>
    <t>Brand</t>
  </si>
  <si>
    <t>FH</t>
  </si>
  <si>
    <t>G</t>
  </si>
  <si>
    <t>S</t>
  </si>
  <si>
    <t>Generic</t>
  </si>
  <si>
    <t>X</t>
  </si>
  <si>
    <t>Smith</t>
  </si>
  <si>
    <t>XT 57</t>
  </si>
  <si>
    <t xml:space="preserve">Smith </t>
  </si>
  <si>
    <t>H90</t>
  </si>
  <si>
    <t>H89</t>
  </si>
  <si>
    <t>NC50(XH)</t>
  </si>
  <si>
    <t>5 FH</t>
  </si>
  <si>
    <t>NC46(XH)</t>
  </si>
  <si>
    <t>NC50(IF)</t>
  </si>
  <si>
    <t>NC40(FH)</t>
  </si>
  <si>
    <t>ST39</t>
  </si>
  <si>
    <t>NC46(IF)</t>
  </si>
  <si>
    <t>UNK</t>
  </si>
  <si>
    <t>XT-39</t>
  </si>
  <si>
    <t>4" XT-39</t>
  </si>
  <si>
    <t>DP 4in x 3.24in  - 15.7 # XT-39 Grade S</t>
  </si>
  <si>
    <t>NC38(IF)</t>
  </si>
  <si>
    <t>SLH90</t>
  </si>
  <si>
    <t>4" ST39</t>
  </si>
  <si>
    <t>NC31(IF)</t>
  </si>
  <si>
    <t>NC26(IF)</t>
  </si>
  <si>
    <t>OSC HQ</t>
  </si>
  <si>
    <t>Cyclone</t>
  </si>
  <si>
    <t>MLWD 4.75" ALD (Solar)</t>
  </si>
  <si>
    <t>MLWD 4.75" CTN (Solar)</t>
  </si>
  <si>
    <t>MLWD 4.75" HOC w/Dir solar</t>
  </si>
  <si>
    <t>MLWD 4.75" PWD solar</t>
  </si>
  <si>
    <t>MLWD 4.75" SlimPhase Solar</t>
  </si>
  <si>
    <t>Sperry</t>
  </si>
  <si>
    <t>SLB VORTEX</t>
  </si>
  <si>
    <t>1t</t>
  </si>
  <si>
    <t>SLB</t>
  </si>
  <si>
    <t>1m</t>
  </si>
  <si>
    <t>Borrox</t>
  </si>
  <si>
    <t>RSS 2D 6 1/8" Sperry-Sun AGS (STD)</t>
  </si>
  <si>
    <t>RSS Geo-Pilot 7600 EDL</t>
  </si>
  <si>
    <t>RSS PD900 12.125" Stab</t>
  </si>
  <si>
    <t>RSS PDOrbit475  6" Stabilized CC</t>
  </si>
  <si>
    <t>RSS PDOrbit 675</t>
  </si>
  <si>
    <t>Unk</t>
  </si>
  <si>
    <t>Cougar</t>
  </si>
  <si>
    <t>IBS</t>
  </si>
  <si>
    <t>SIGs</t>
  </si>
  <si>
    <t>WBS</t>
  </si>
  <si>
    <t>DTI</t>
  </si>
  <si>
    <t>NBS</t>
  </si>
  <si>
    <t>SS</t>
  </si>
  <si>
    <t>SUB 4.75" OD 2ft Ext Sub</t>
  </si>
  <si>
    <t>SUB 4-3/4" Contingency Sub</t>
  </si>
  <si>
    <t>MUD GUARD</t>
  </si>
  <si>
    <t>PBL</t>
  </si>
  <si>
    <t>4 1/2" IF</t>
  </si>
  <si>
    <t>5 1/2" FH</t>
  </si>
  <si>
    <r>
      <rPr>
        <sz val="8"/>
        <rFont val="Arial"/>
        <family val="2"/>
      </rPr>
      <t>P 4" HT38</t>
    </r>
  </si>
  <si>
    <t>B NC 38</t>
  </si>
  <si>
    <t>P NC 38</t>
  </si>
  <si>
    <t>B 4" ST39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</si>
</sst>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5" x14ac:knownFonts="1"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AB5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0" borderId="4" xfId="0" applyBorder="1"/>
    <xf numFmtId="2" fontId="0" fillId="0" borderId="4" xfId="0" applyNumberFormat="1" applyBorder="1"/>
    <xf numFmtId="0" fontId="0" fillId="0" borderId="6" xfId="0" applyBorder="1"/>
    <xf numFmtId="166" fontId="0" fillId="0" borderId="4" xfId="0" applyNumberFormat="1" applyBorder="1" applyAlignment="1">
      <alignment horizontal="center"/>
    </xf>
    <xf numFmtId="2" fontId="0" fillId="0" borderId="6" xfId="0" applyNumberFormat="1" applyBorder="1"/>
    <xf numFmtId="2" fontId="0" fillId="0" borderId="6" xfId="0" applyNumberFormat="1" applyBorder="1" applyAlignment="1">
      <alignment horizontal="center"/>
    </xf>
    <xf numFmtId="15" fontId="0" fillId="0" borderId="0" xfId="0" applyNumberFormat="1"/>
    <xf numFmtId="0" fontId="0" fillId="0" borderId="6" xfId="0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56d7462aaf577ab/Documents/OSC%20stuff/Simulations%20Log/Jar%20placement%20working%20version%2025JAN23.xlsm" TargetMode="External"/><Relationship Id="rId1" Type="http://schemas.openxmlformats.org/officeDocument/2006/relationships/externalLinkPath" Target="https://d.docs.live.net/d56d7462aaf577ab/Documents/OSC%20stuff/Simulations%20Log/Jar%20placement%20working%20version%2025JAN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P_Curve"/>
      <sheetName val="BHA Mech"/>
      <sheetName val="BHA Hyd"/>
      <sheetName val="BHA Dims"/>
      <sheetName val="Surveys"/>
      <sheetName val="Rules"/>
      <sheetName val="Djar capability"/>
      <sheetName val="e.g Basic Place"/>
    </sheetNames>
    <sheetDataSet>
      <sheetData sheetId="0"/>
      <sheetData sheetId="1"/>
      <sheetData sheetId="2"/>
      <sheetData sheetId="3">
        <row r="1">
          <cell r="A1" t="str">
            <v>Pipe Name</v>
          </cell>
          <cell r="B1" t="str">
            <v>Pipe OD (in.)</v>
          </cell>
          <cell r="C1" t="str">
            <v>Pipe ID (in.)</v>
          </cell>
          <cell r="D1" t="str">
            <v>Act. Wt. (lb/ft)</v>
          </cell>
          <cell r="E1" t="str">
            <v>TJ TYPE</v>
          </cell>
          <cell r="F1" t="str">
            <v>Nom. Wt. (lb/ft)</v>
          </cell>
          <cell r="G1" t="str">
            <v>TJ OD (in.)</v>
          </cell>
          <cell r="H1" t="str">
            <v>TJ ID (in.)</v>
          </cell>
          <cell r="I1" t="str">
            <v>Pipe Grade</v>
          </cell>
        </row>
        <row r="2">
          <cell r="A2" t="str">
            <v>DP 6.625in x 5.965in  - 25.2 # FH Grade G</v>
          </cell>
          <cell r="B2">
            <v>6.625</v>
          </cell>
          <cell r="C2">
            <v>5.9649999999999999</v>
          </cell>
          <cell r="D2">
            <v>27.3</v>
          </cell>
          <cell r="E2" t="str">
            <v>FH</v>
          </cell>
          <cell r="F2">
            <v>25.2</v>
          </cell>
          <cell r="G2">
            <v>8.25</v>
          </cell>
          <cell r="H2">
            <v>4.5</v>
          </cell>
          <cell r="I2" t="str">
            <v>G</v>
          </cell>
        </row>
        <row r="3">
          <cell r="A3" t="str">
            <v>DP 6.625in x 5.965in  - 25.2 # FH Grade S</v>
          </cell>
          <cell r="B3">
            <v>6.625</v>
          </cell>
          <cell r="C3">
            <v>5.9649999999999999</v>
          </cell>
          <cell r="D3">
            <v>27.3</v>
          </cell>
          <cell r="E3" t="str">
            <v>FH</v>
          </cell>
          <cell r="F3">
            <v>25.2</v>
          </cell>
          <cell r="G3">
            <v>8.5</v>
          </cell>
          <cell r="H3">
            <v>4</v>
          </cell>
          <cell r="I3" t="str">
            <v>S</v>
          </cell>
        </row>
        <row r="4">
          <cell r="A4" t="str">
            <v>DP 6.625in x 5.965in  - 25.2 # FH Grade X</v>
          </cell>
          <cell r="B4">
            <v>6.625</v>
          </cell>
          <cell r="C4">
            <v>5.9649999999999999</v>
          </cell>
          <cell r="D4">
            <v>27.3</v>
          </cell>
          <cell r="E4" t="str">
            <v>FH</v>
          </cell>
          <cell r="F4">
            <v>25.2</v>
          </cell>
          <cell r="G4">
            <v>8</v>
          </cell>
          <cell r="H4">
            <v>4.75</v>
          </cell>
          <cell r="I4" t="str">
            <v>X</v>
          </cell>
        </row>
        <row r="5">
          <cell r="A5" t="str">
            <v>DP 5.875in x 4in  -  # XT 57 Grade X</v>
          </cell>
          <cell r="B5">
            <v>5.875</v>
          </cell>
          <cell r="C5">
            <v>4</v>
          </cell>
          <cell r="E5" t="str">
            <v>XT 57</v>
          </cell>
          <cell r="G5">
            <v>7</v>
          </cell>
          <cell r="H5">
            <v>4</v>
          </cell>
          <cell r="I5" t="str">
            <v>X</v>
          </cell>
        </row>
        <row r="6">
          <cell r="A6" t="str">
            <v>DP 5.5in x 4.778in  - 21.9 # FH Grade G</v>
          </cell>
          <cell r="B6">
            <v>5.5</v>
          </cell>
          <cell r="C6">
            <v>4.7779999999999996</v>
          </cell>
          <cell r="D6">
            <v>25.21</v>
          </cell>
          <cell r="E6" t="str">
            <v>FH</v>
          </cell>
          <cell r="F6">
            <v>21.9</v>
          </cell>
          <cell r="G6">
            <v>7.25</v>
          </cell>
          <cell r="H6">
            <v>3.5</v>
          </cell>
          <cell r="I6" t="str">
            <v>G</v>
          </cell>
        </row>
        <row r="7">
          <cell r="A7" t="str">
            <v>DP 5.5in x 4.778in  - 21.9 # FH Grade S</v>
          </cell>
          <cell r="B7">
            <v>5.5</v>
          </cell>
          <cell r="C7">
            <v>4.7779999999999996</v>
          </cell>
          <cell r="D7">
            <v>26.33</v>
          </cell>
          <cell r="E7" t="str">
            <v>FH</v>
          </cell>
          <cell r="F7">
            <v>21.9</v>
          </cell>
          <cell r="G7">
            <v>7.5</v>
          </cell>
          <cell r="H7">
            <v>3</v>
          </cell>
          <cell r="I7" t="str">
            <v>S</v>
          </cell>
        </row>
        <row r="8">
          <cell r="A8" t="str">
            <v>DP 5.5in x 4.778in  - 21.9 # FH Grade X</v>
          </cell>
          <cell r="B8">
            <v>5.5</v>
          </cell>
          <cell r="C8">
            <v>4.7779999999999996</v>
          </cell>
          <cell r="D8">
            <v>24.37</v>
          </cell>
          <cell r="E8" t="str">
            <v>FH</v>
          </cell>
          <cell r="F8">
            <v>21.9</v>
          </cell>
          <cell r="G8">
            <v>7</v>
          </cell>
          <cell r="H8">
            <v>3.75</v>
          </cell>
          <cell r="I8" t="str">
            <v>X</v>
          </cell>
        </row>
        <row r="9">
          <cell r="A9" t="str">
            <v>DP 5.5in x 4.778in  - 21.9 # H90 Grade X</v>
          </cell>
          <cell r="B9">
            <v>5.5</v>
          </cell>
          <cell r="C9">
            <v>4.7779999999999996</v>
          </cell>
          <cell r="D9">
            <v>24.64</v>
          </cell>
          <cell r="E9" t="str">
            <v>H90</v>
          </cell>
          <cell r="F9">
            <v>21.9</v>
          </cell>
          <cell r="G9">
            <v>7</v>
          </cell>
          <cell r="H9">
            <v>3.5</v>
          </cell>
          <cell r="I9" t="str">
            <v>X</v>
          </cell>
        </row>
        <row r="10">
          <cell r="A10" t="str">
            <v>DP 5.5in x 4.67in  - 24.7 # FH Grade G</v>
          </cell>
          <cell r="B10">
            <v>5.5</v>
          </cell>
          <cell r="C10">
            <v>4.67</v>
          </cell>
          <cell r="D10">
            <v>27.76</v>
          </cell>
          <cell r="E10" t="str">
            <v>FH</v>
          </cell>
          <cell r="F10">
            <v>24.7</v>
          </cell>
          <cell r="G10">
            <v>7.25</v>
          </cell>
          <cell r="H10">
            <v>3.5</v>
          </cell>
          <cell r="I10" t="str">
            <v>G</v>
          </cell>
        </row>
        <row r="11">
          <cell r="A11" t="str">
            <v>DP 5.5in x 4.67in  - 24.7 # FH Grade S</v>
          </cell>
          <cell r="B11">
            <v>5.5</v>
          </cell>
          <cell r="C11">
            <v>4.67</v>
          </cell>
          <cell r="D11">
            <v>28.87</v>
          </cell>
          <cell r="E11" t="str">
            <v>FH</v>
          </cell>
          <cell r="F11">
            <v>24.7</v>
          </cell>
          <cell r="G11">
            <v>7.5</v>
          </cell>
          <cell r="H11">
            <v>3</v>
          </cell>
          <cell r="I11" t="str">
            <v>S</v>
          </cell>
        </row>
        <row r="12">
          <cell r="A12" t="str">
            <v>DP 5.5in x 4.67in  - 24.7 # FH Grade X</v>
          </cell>
          <cell r="B12">
            <v>5.5</v>
          </cell>
          <cell r="C12">
            <v>4.67</v>
          </cell>
          <cell r="D12">
            <v>27.76</v>
          </cell>
          <cell r="E12" t="str">
            <v>FH</v>
          </cell>
          <cell r="F12">
            <v>24.7</v>
          </cell>
          <cell r="G12">
            <v>7.25</v>
          </cell>
          <cell r="H12">
            <v>3.5</v>
          </cell>
          <cell r="I12" t="str">
            <v>X</v>
          </cell>
        </row>
        <row r="13">
          <cell r="A13" t="str">
            <v>DP 5in x 4.276in  - 19.5 # H89 Grade G</v>
          </cell>
          <cell r="B13">
            <v>5</v>
          </cell>
          <cell r="C13">
            <v>4.2759999999999998</v>
          </cell>
          <cell r="D13">
            <v>22.32</v>
          </cell>
          <cell r="E13" t="str">
            <v>H89</v>
          </cell>
          <cell r="F13">
            <v>19.5</v>
          </cell>
          <cell r="G13">
            <v>6.5</v>
          </cell>
          <cell r="H13">
            <v>3</v>
          </cell>
          <cell r="I13" t="str">
            <v>G</v>
          </cell>
        </row>
        <row r="14">
          <cell r="A14" t="str">
            <v>DP 5in x 4.276in  - 19.5 # H90 Grade G</v>
          </cell>
          <cell r="B14">
            <v>5</v>
          </cell>
          <cell r="C14">
            <v>4.2759999999999998</v>
          </cell>
          <cell r="D14">
            <v>22.32</v>
          </cell>
          <cell r="E14" t="str">
            <v>H90</v>
          </cell>
          <cell r="F14">
            <v>19.5</v>
          </cell>
          <cell r="G14">
            <v>6.5</v>
          </cell>
          <cell r="H14">
            <v>3</v>
          </cell>
          <cell r="I14" t="str">
            <v>G</v>
          </cell>
        </row>
        <row r="15">
          <cell r="A15" t="str">
            <v xml:space="preserve">DP 5in x 4.375in  - 21.92 #  Grade </v>
          </cell>
          <cell r="B15">
            <v>5</v>
          </cell>
          <cell r="C15">
            <v>4.375</v>
          </cell>
          <cell r="D15">
            <v>21.92</v>
          </cell>
          <cell r="F15">
            <v>21.92</v>
          </cell>
          <cell r="G15">
            <v>6.5</v>
          </cell>
          <cell r="H15">
            <v>3.25</v>
          </cell>
        </row>
        <row r="16">
          <cell r="A16" t="str">
            <v>DP 5in x 4.276in  - 19.5 # NC50(XH) Grade S</v>
          </cell>
          <cell r="B16">
            <v>5</v>
          </cell>
          <cell r="C16">
            <v>4.2759999999999998</v>
          </cell>
          <cell r="D16">
            <v>22.6</v>
          </cell>
          <cell r="E16" t="str">
            <v>NC50(XH)</v>
          </cell>
          <cell r="F16">
            <v>19.5</v>
          </cell>
          <cell r="G16">
            <v>6.625</v>
          </cell>
          <cell r="H16">
            <v>2.75</v>
          </cell>
          <cell r="I16" t="str">
            <v>S</v>
          </cell>
        </row>
        <row r="17">
          <cell r="A17" t="str">
            <v>DP 5in x 4.276in  - 19.5 # NC50(XH) Grade X</v>
          </cell>
          <cell r="B17">
            <v>5</v>
          </cell>
          <cell r="C17">
            <v>4.2759999999999998</v>
          </cell>
          <cell r="D17">
            <v>21.44</v>
          </cell>
          <cell r="E17" t="str">
            <v>NC50(XH)</v>
          </cell>
          <cell r="F17">
            <v>19.5</v>
          </cell>
          <cell r="G17">
            <v>6.375</v>
          </cell>
          <cell r="H17">
            <v>3.5</v>
          </cell>
          <cell r="I17" t="str">
            <v>X</v>
          </cell>
        </row>
        <row r="18">
          <cell r="A18" t="str">
            <v>DP 5in x 4.276in  - 19.5 # H90 Grade X</v>
          </cell>
          <cell r="B18">
            <v>5</v>
          </cell>
          <cell r="C18">
            <v>4.2759999999999998</v>
          </cell>
          <cell r="D18">
            <v>22.08</v>
          </cell>
          <cell r="E18" t="str">
            <v>H90</v>
          </cell>
          <cell r="F18">
            <v>19.5</v>
          </cell>
          <cell r="G18">
            <v>6.5</v>
          </cell>
          <cell r="H18">
            <v>3.25</v>
          </cell>
          <cell r="I18" t="str">
            <v>X</v>
          </cell>
        </row>
        <row r="19">
          <cell r="A19" t="str">
            <v>DP 5in x 4in  - 25.6 # 5 FH Grade G</v>
          </cell>
          <cell r="B19">
            <v>5</v>
          </cell>
          <cell r="C19">
            <v>4</v>
          </cell>
          <cell r="D19">
            <v>29.01</v>
          </cell>
          <cell r="E19" t="str">
            <v>5 FH</v>
          </cell>
          <cell r="F19">
            <v>25.6</v>
          </cell>
          <cell r="G19">
            <v>7.25</v>
          </cell>
          <cell r="H19">
            <v>3.5</v>
          </cell>
          <cell r="I19" t="str">
            <v>G</v>
          </cell>
        </row>
        <row r="20">
          <cell r="A20" t="str">
            <v>DP 5in x 4in  - 25.6 # NC50(XH) Grade G</v>
          </cell>
          <cell r="B20">
            <v>5</v>
          </cell>
          <cell r="C20">
            <v>4</v>
          </cell>
          <cell r="D20">
            <v>28.32</v>
          </cell>
          <cell r="E20" t="str">
            <v>NC50(XH)</v>
          </cell>
          <cell r="F20">
            <v>25.6</v>
          </cell>
          <cell r="G20">
            <v>6.625</v>
          </cell>
          <cell r="H20">
            <v>2.75</v>
          </cell>
          <cell r="I20" t="str">
            <v>G</v>
          </cell>
        </row>
        <row r="21">
          <cell r="A21" t="str">
            <v>DP 5in x 4in  - 25.6 # FH Grade S</v>
          </cell>
          <cell r="B21">
            <v>5</v>
          </cell>
          <cell r="C21">
            <v>4</v>
          </cell>
          <cell r="D21">
            <v>29.35</v>
          </cell>
          <cell r="E21" t="str">
            <v>FH</v>
          </cell>
          <cell r="F21">
            <v>25.6</v>
          </cell>
          <cell r="G21">
            <v>7.25</v>
          </cell>
          <cell r="H21">
            <v>3.25</v>
          </cell>
          <cell r="I21" t="str">
            <v>S</v>
          </cell>
        </row>
        <row r="22">
          <cell r="A22" t="str">
            <v>DP 5in x 4in  - 25.6 # 5 FH Grade X</v>
          </cell>
          <cell r="B22">
            <v>5</v>
          </cell>
          <cell r="C22">
            <v>4</v>
          </cell>
          <cell r="D22">
            <v>28.45</v>
          </cell>
          <cell r="E22" t="str">
            <v>5 FH</v>
          </cell>
          <cell r="F22">
            <v>25.6</v>
          </cell>
          <cell r="G22">
            <v>7</v>
          </cell>
          <cell r="H22">
            <v>3.5</v>
          </cell>
          <cell r="I22" t="str">
            <v>X</v>
          </cell>
        </row>
        <row r="23">
          <cell r="A23" t="str">
            <v>DP 5in x 4in  - 25.6 # NC50(XH) Grade X</v>
          </cell>
          <cell r="B23">
            <v>5</v>
          </cell>
          <cell r="C23">
            <v>4</v>
          </cell>
          <cell r="D23">
            <v>27.86</v>
          </cell>
          <cell r="E23" t="str">
            <v>NC50(XH)</v>
          </cell>
          <cell r="F23">
            <v>25.6</v>
          </cell>
          <cell r="G23">
            <v>6.5</v>
          </cell>
          <cell r="H23">
            <v>3</v>
          </cell>
          <cell r="I23" t="str">
            <v>X</v>
          </cell>
        </row>
        <row r="24">
          <cell r="A24" t="str">
            <v>DP 4.5in x 3.826in  - 16.6 # FH Grade G</v>
          </cell>
          <cell r="B24">
            <v>4.5</v>
          </cell>
          <cell r="C24">
            <v>3.8260000000000001</v>
          </cell>
          <cell r="D24">
            <v>18.62</v>
          </cell>
          <cell r="E24" t="str">
            <v>FH</v>
          </cell>
          <cell r="F24">
            <v>16.600000000000001</v>
          </cell>
          <cell r="G24">
            <v>6</v>
          </cell>
          <cell r="H24">
            <v>3</v>
          </cell>
          <cell r="I24" t="str">
            <v>G</v>
          </cell>
        </row>
        <row r="25">
          <cell r="A25" t="str">
            <v>DP 4.5in x 3.826in  - 16.6 # H90 Grade G</v>
          </cell>
          <cell r="B25">
            <v>4.5</v>
          </cell>
          <cell r="C25">
            <v>3.8260000000000001</v>
          </cell>
          <cell r="D25">
            <v>18.39</v>
          </cell>
          <cell r="E25" t="str">
            <v>H90</v>
          </cell>
          <cell r="F25">
            <v>16.600000000000001</v>
          </cell>
          <cell r="G25">
            <v>6</v>
          </cell>
          <cell r="H25">
            <v>3</v>
          </cell>
          <cell r="I25" t="str">
            <v>G</v>
          </cell>
        </row>
        <row r="26">
          <cell r="A26" t="str">
            <v>DP 4.5in x 3.826in  - 16.6 # NC50(XH) Grade G</v>
          </cell>
          <cell r="B26">
            <v>4.5</v>
          </cell>
          <cell r="C26">
            <v>3.8260000000000001</v>
          </cell>
          <cell r="D26">
            <v>18.34</v>
          </cell>
          <cell r="E26" t="str">
            <v>NC50(XH)</v>
          </cell>
          <cell r="F26">
            <v>16.600000000000001</v>
          </cell>
          <cell r="G26">
            <v>6.375</v>
          </cell>
          <cell r="H26">
            <v>3.75</v>
          </cell>
          <cell r="I26" t="str">
            <v>G</v>
          </cell>
        </row>
        <row r="27">
          <cell r="A27" t="str">
            <v>DP 4.5in x 3.826in  - 16.6 # NC46(XH) Grade G</v>
          </cell>
          <cell r="B27">
            <v>4.5</v>
          </cell>
          <cell r="C27">
            <v>3.8260000000000001</v>
          </cell>
          <cell r="D27">
            <v>18.88</v>
          </cell>
          <cell r="E27" t="str">
            <v>NC46(XH)</v>
          </cell>
          <cell r="F27">
            <v>16.600000000000001</v>
          </cell>
          <cell r="G27">
            <v>6.25</v>
          </cell>
          <cell r="H27">
            <v>3</v>
          </cell>
          <cell r="I27" t="str">
            <v>G</v>
          </cell>
        </row>
        <row r="28">
          <cell r="A28" t="str">
            <v>DP 4.5in x 3.826in  - 16.6 # FH Grade S</v>
          </cell>
          <cell r="B28">
            <v>4.5</v>
          </cell>
          <cell r="C28">
            <v>3.8260000000000001</v>
          </cell>
          <cell r="D28">
            <v>19.28</v>
          </cell>
          <cell r="E28" t="str">
            <v>FH</v>
          </cell>
          <cell r="F28">
            <v>16.600000000000001</v>
          </cell>
          <cell r="G28">
            <v>6.25</v>
          </cell>
          <cell r="H28">
            <v>2.5</v>
          </cell>
          <cell r="I28" t="str">
            <v>S</v>
          </cell>
        </row>
        <row r="29">
          <cell r="A29" t="str">
            <v>DP 4.5in x 3.826in  - 16.6 # H90 Grade S</v>
          </cell>
          <cell r="B29">
            <v>4.5</v>
          </cell>
          <cell r="C29">
            <v>3.8260000000000001</v>
          </cell>
          <cell r="D29">
            <v>18.420000000000002</v>
          </cell>
          <cell r="E29" t="str">
            <v>H90</v>
          </cell>
          <cell r="F29">
            <v>16.600000000000001</v>
          </cell>
          <cell r="G29">
            <v>6</v>
          </cell>
          <cell r="H29">
            <v>3</v>
          </cell>
          <cell r="I29" t="str">
            <v>S</v>
          </cell>
        </row>
        <row r="30">
          <cell r="A30" t="str">
            <v>DP 4.5in x 3.826in  - 16.6 # NC50(IF) Grade S</v>
          </cell>
          <cell r="B30">
            <v>4.5</v>
          </cell>
          <cell r="C30">
            <v>3.8260000000000001</v>
          </cell>
          <cell r="D30">
            <v>18.61</v>
          </cell>
          <cell r="E30" t="str">
            <v>NC50(IF)</v>
          </cell>
          <cell r="F30">
            <v>16.600000000000001</v>
          </cell>
          <cell r="G30">
            <v>6.375</v>
          </cell>
          <cell r="H30">
            <v>3.5</v>
          </cell>
          <cell r="I30" t="str">
            <v>S</v>
          </cell>
        </row>
        <row r="31">
          <cell r="A31" t="str">
            <v>DP 4.5in x 3.826in  - 16.6 # NC46(XH) Grade S</v>
          </cell>
          <cell r="B31">
            <v>4.5</v>
          </cell>
          <cell r="C31">
            <v>3.8260000000000001</v>
          </cell>
          <cell r="D31">
            <v>19.09</v>
          </cell>
          <cell r="E31" t="str">
            <v>NC46(XH)</v>
          </cell>
          <cell r="F31">
            <v>16.600000000000001</v>
          </cell>
          <cell r="G31">
            <v>6.25</v>
          </cell>
          <cell r="H31">
            <v>2.75</v>
          </cell>
          <cell r="I31" t="str">
            <v>S</v>
          </cell>
        </row>
        <row r="32">
          <cell r="A32" t="str">
            <v>DP 4.5in x 3.826in  - 16.6 # FH Grade X</v>
          </cell>
          <cell r="B32">
            <v>4.5</v>
          </cell>
          <cell r="C32">
            <v>3.8260000000000001</v>
          </cell>
          <cell r="D32">
            <v>18.62</v>
          </cell>
          <cell r="E32" t="str">
            <v>FH</v>
          </cell>
          <cell r="F32">
            <v>16.600000000000001</v>
          </cell>
          <cell r="G32">
            <v>6</v>
          </cell>
          <cell r="H32">
            <v>3</v>
          </cell>
          <cell r="I32" t="str">
            <v>X</v>
          </cell>
        </row>
        <row r="33">
          <cell r="A33" t="str">
            <v>DP 4.5in x 3.826in  - 16.6 # H90 Grade X</v>
          </cell>
          <cell r="B33">
            <v>4.5</v>
          </cell>
          <cell r="C33">
            <v>3.8260000000000001</v>
          </cell>
          <cell r="D33">
            <v>18.39</v>
          </cell>
          <cell r="E33" t="str">
            <v>H90</v>
          </cell>
          <cell r="F33">
            <v>16.600000000000001</v>
          </cell>
          <cell r="G33">
            <v>6</v>
          </cell>
          <cell r="H33">
            <v>3.25</v>
          </cell>
          <cell r="I33" t="str">
            <v>X</v>
          </cell>
        </row>
        <row r="34">
          <cell r="A34" t="str">
            <v>DP 4.5in x 3.826in  - 16.6 # NC50(IF) Grade X</v>
          </cell>
          <cell r="B34">
            <v>4.5</v>
          </cell>
          <cell r="C34">
            <v>3.8260000000000001</v>
          </cell>
          <cell r="D34">
            <v>18.34</v>
          </cell>
          <cell r="E34" t="str">
            <v>NC50(IF)</v>
          </cell>
          <cell r="F34">
            <v>16.600000000000001</v>
          </cell>
          <cell r="G34">
            <v>6.375</v>
          </cell>
          <cell r="H34">
            <v>3.75</v>
          </cell>
          <cell r="I34" t="str">
            <v>X</v>
          </cell>
        </row>
        <row r="35">
          <cell r="A35" t="str">
            <v>DP 4.5in x 3.826in  - 16.6 # NC46(XH) Grade X</v>
          </cell>
          <cell r="B35">
            <v>4.5</v>
          </cell>
          <cell r="C35">
            <v>3.8260000000000001</v>
          </cell>
          <cell r="D35">
            <v>18.88</v>
          </cell>
          <cell r="E35" t="str">
            <v>NC46(XH)</v>
          </cell>
          <cell r="F35">
            <v>16.600000000000001</v>
          </cell>
          <cell r="G35">
            <v>6.25</v>
          </cell>
          <cell r="H35">
            <v>3</v>
          </cell>
          <cell r="I35" t="str">
            <v>X</v>
          </cell>
        </row>
        <row r="36">
          <cell r="A36" t="str">
            <v>DP 4.5in x 3.826in  - 16.6 # H90 Grade X</v>
          </cell>
          <cell r="B36">
            <v>4.5</v>
          </cell>
          <cell r="C36">
            <v>3.8260000000000001</v>
          </cell>
          <cell r="D36">
            <v>18.38</v>
          </cell>
          <cell r="E36" t="str">
            <v>H90</v>
          </cell>
          <cell r="F36">
            <v>16.600000000000001</v>
          </cell>
          <cell r="G36">
            <v>6</v>
          </cell>
          <cell r="H36">
            <v>3.25</v>
          </cell>
          <cell r="I36" t="str">
            <v>X</v>
          </cell>
        </row>
        <row r="37">
          <cell r="A37" t="str">
            <v>DP 4.5in x 3.826in  - 16.6 # NC50(IF) Grade X</v>
          </cell>
          <cell r="B37">
            <v>4.5</v>
          </cell>
          <cell r="C37">
            <v>3.8260000000000001</v>
          </cell>
          <cell r="D37">
            <v>18.34</v>
          </cell>
          <cell r="E37" t="str">
            <v>NC50(IF)</v>
          </cell>
          <cell r="F37">
            <v>16.600000000000001</v>
          </cell>
          <cell r="G37">
            <v>6.375</v>
          </cell>
          <cell r="H37">
            <v>3.75</v>
          </cell>
          <cell r="I37" t="str">
            <v>X</v>
          </cell>
        </row>
        <row r="38">
          <cell r="A38" t="str">
            <v>DP 4.5in x 3.826in  - 16.6 # NC46(XH) Grade X</v>
          </cell>
          <cell r="B38">
            <v>4.5</v>
          </cell>
          <cell r="C38">
            <v>3.8260000000000001</v>
          </cell>
          <cell r="D38">
            <v>18.88</v>
          </cell>
          <cell r="E38" t="str">
            <v>NC46(XH)</v>
          </cell>
          <cell r="F38">
            <v>16.600000000000001</v>
          </cell>
          <cell r="G38">
            <v>6.25</v>
          </cell>
          <cell r="H38">
            <v>3</v>
          </cell>
          <cell r="I38" t="str">
            <v>X</v>
          </cell>
        </row>
        <row r="39">
          <cell r="A39" t="str">
            <v>DP 4.5in x 3.64in  - 20 # NC50(IF) Grade G</v>
          </cell>
          <cell r="B39">
            <v>4.5</v>
          </cell>
          <cell r="C39">
            <v>3.64</v>
          </cell>
          <cell r="D39">
            <v>22.13</v>
          </cell>
          <cell r="E39" t="str">
            <v>NC50(IF)</v>
          </cell>
          <cell r="F39">
            <v>20</v>
          </cell>
          <cell r="G39">
            <v>6.375</v>
          </cell>
          <cell r="H39">
            <v>3.5</v>
          </cell>
          <cell r="I39" t="str">
            <v>G</v>
          </cell>
        </row>
        <row r="40">
          <cell r="A40" t="str">
            <v>DP 4.5in x 3.64in  - 20 # NC46(XH) Grade G</v>
          </cell>
          <cell r="B40">
            <v>4.5</v>
          </cell>
          <cell r="C40">
            <v>3.64</v>
          </cell>
          <cell r="D40">
            <v>22.75</v>
          </cell>
          <cell r="E40" t="str">
            <v>NC46(XH)</v>
          </cell>
          <cell r="F40">
            <v>20</v>
          </cell>
          <cell r="G40">
            <v>6.25</v>
          </cell>
          <cell r="H40">
            <v>2.5</v>
          </cell>
          <cell r="I40" t="str">
            <v>G</v>
          </cell>
        </row>
        <row r="41">
          <cell r="A41" t="str">
            <v>DP 4.5in x 3.64in  - 20 # NC50(IF) Grade S</v>
          </cell>
          <cell r="B41">
            <v>4.5</v>
          </cell>
          <cell r="C41">
            <v>3.64</v>
          </cell>
          <cell r="D41">
            <v>23.22</v>
          </cell>
          <cell r="E41" t="str">
            <v>NC50(IF)</v>
          </cell>
          <cell r="F41">
            <v>20</v>
          </cell>
          <cell r="G41">
            <v>6.625</v>
          </cell>
          <cell r="H41">
            <v>3</v>
          </cell>
          <cell r="I41" t="str">
            <v>S</v>
          </cell>
        </row>
        <row r="42">
          <cell r="A42" t="str">
            <v>DP 4.5in x 3.64in  - 20 # NC46(XH) Grade S</v>
          </cell>
          <cell r="B42">
            <v>4.5</v>
          </cell>
          <cell r="C42">
            <v>3.64</v>
          </cell>
          <cell r="D42">
            <v>23.22</v>
          </cell>
          <cell r="E42" t="str">
            <v>NC46(XH)</v>
          </cell>
          <cell r="F42">
            <v>20</v>
          </cell>
          <cell r="G42">
            <v>6.25</v>
          </cell>
          <cell r="H42">
            <v>2.25</v>
          </cell>
          <cell r="I42" t="str">
            <v>S</v>
          </cell>
        </row>
        <row r="43">
          <cell r="A43" t="str">
            <v>DP 4.5in x 3.64in  - 20 # FH Grade X</v>
          </cell>
          <cell r="B43">
            <v>4.5</v>
          </cell>
          <cell r="C43">
            <v>3.64</v>
          </cell>
          <cell r="D43">
            <v>22.29</v>
          </cell>
          <cell r="E43" t="str">
            <v>FH</v>
          </cell>
          <cell r="F43">
            <v>20</v>
          </cell>
          <cell r="G43">
            <v>6</v>
          </cell>
          <cell r="H43">
            <v>2.5</v>
          </cell>
          <cell r="I43" t="str">
            <v>X</v>
          </cell>
        </row>
        <row r="44">
          <cell r="A44" t="str">
            <v>DP 4.5in x 3.64in  - 20 # H90 Grade X</v>
          </cell>
          <cell r="B44">
            <v>4.5</v>
          </cell>
          <cell r="C44">
            <v>3.64</v>
          </cell>
          <cell r="D44">
            <v>21.79</v>
          </cell>
          <cell r="E44" t="str">
            <v>H90</v>
          </cell>
          <cell r="F44">
            <v>20</v>
          </cell>
          <cell r="G44">
            <v>6</v>
          </cell>
          <cell r="H44">
            <v>3.25</v>
          </cell>
          <cell r="I44" t="str">
            <v>X</v>
          </cell>
        </row>
        <row r="45">
          <cell r="A45" t="str">
            <v>DP 4.5in x 3.64in  - 20 # FH Grade X</v>
          </cell>
          <cell r="B45">
            <v>4.5</v>
          </cell>
          <cell r="C45">
            <v>3.64</v>
          </cell>
          <cell r="D45">
            <v>22.29</v>
          </cell>
          <cell r="E45" t="str">
            <v>FH</v>
          </cell>
          <cell r="F45">
            <v>20</v>
          </cell>
          <cell r="G45">
            <v>6</v>
          </cell>
          <cell r="H45">
            <v>2.5</v>
          </cell>
          <cell r="I45" t="str">
            <v>X</v>
          </cell>
        </row>
        <row r="46">
          <cell r="A46" t="str">
            <v>DP 4.5in x 3.64in  - 20 # H90 Grade X</v>
          </cell>
          <cell r="B46">
            <v>4.5</v>
          </cell>
          <cell r="C46">
            <v>3.64</v>
          </cell>
          <cell r="D46">
            <v>21.73</v>
          </cell>
          <cell r="E46" t="str">
            <v>H90</v>
          </cell>
          <cell r="F46">
            <v>20</v>
          </cell>
          <cell r="G46">
            <v>6</v>
          </cell>
          <cell r="H46">
            <v>3.25</v>
          </cell>
          <cell r="I46" t="str">
            <v>X</v>
          </cell>
        </row>
        <row r="47">
          <cell r="A47" t="str">
            <v>DP 4.5in x 3.64in  - 20 # NC50(IF) Grade X</v>
          </cell>
          <cell r="B47">
            <v>4.5</v>
          </cell>
          <cell r="C47">
            <v>3.64</v>
          </cell>
          <cell r="D47">
            <v>22.13</v>
          </cell>
          <cell r="E47" t="str">
            <v>NC50(IF)</v>
          </cell>
          <cell r="F47">
            <v>20</v>
          </cell>
          <cell r="G47">
            <v>6.375</v>
          </cell>
          <cell r="H47">
            <v>3.5</v>
          </cell>
          <cell r="I47" t="str">
            <v>X</v>
          </cell>
        </row>
        <row r="48">
          <cell r="A48" t="str">
            <v>DP 4.5in x 3.64in  - 20 # NC46(XH) Grade X</v>
          </cell>
          <cell r="B48">
            <v>4.5</v>
          </cell>
          <cell r="C48">
            <v>3.64</v>
          </cell>
          <cell r="D48">
            <v>22.56</v>
          </cell>
          <cell r="E48" t="str">
            <v>NC46(XH)</v>
          </cell>
          <cell r="F48">
            <v>20</v>
          </cell>
          <cell r="G48">
            <v>6.25</v>
          </cell>
          <cell r="H48">
            <v>2.75</v>
          </cell>
          <cell r="I48" t="str">
            <v>X</v>
          </cell>
        </row>
        <row r="49">
          <cell r="A49" t="str">
            <v>DP 4in x 3.34in  - 14 # NC40(FH) Grade G</v>
          </cell>
          <cell r="B49">
            <v>4</v>
          </cell>
          <cell r="C49">
            <v>3.34</v>
          </cell>
          <cell r="D49">
            <v>15.9</v>
          </cell>
          <cell r="E49" t="str">
            <v>NC40(FH)</v>
          </cell>
          <cell r="F49">
            <v>14</v>
          </cell>
          <cell r="G49">
            <v>5.5</v>
          </cell>
          <cell r="H49">
            <v>2.4375</v>
          </cell>
          <cell r="I49" t="str">
            <v>G</v>
          </cell>
        </row>
        <row r="50">
          <cell r="A50" t="str">
            <v>DP 4in x 3.34in  - 14 # H90 Grade G</v>
          </cell>
          <cell r="B50">
            <v>4</v>
          </cell>
          <cell r="C50">
            <v>3.34</v>
          </cell>
          <cell r="D50">
            <v>15.55</v>
          </cell>
          <cell r="E50" t="str">
            <v>H90</v>
          </cell>
          <cell r="F50">
            <v>14</v>
          </cell>
          <cell r="G50">
            <v>5.5</v>
          </cell>
          <cell r="H50">
            <v>2.8125</v>
          </cell>
          <cell r="I50" t="str">
            <v>G</v>
          </cell>
        </row>
        <row r="51">
          <cell r="A51" t="str">
            <v>DP 4in x 3.34in  - 14 # ST39 Grade S</v>
          </cell>
          <cell r="B51">
            <v>4</v>
          </cell>
          <cell r="C51">
            <v>3.34</v>
          </cell>
          <cell r="D51">
            <v>15.55</v>
          </cell>
          <cell r="E51" t="str">
            <v>ST39</v>
          </cell>
          <cell r="F51">
            <v>14</v>
          </cell>
          <cell r="G51">
            <v>5.5</v>
          </cell>
          <cell r="H51">
            <v>2.8125</v>
          </cell>
          <cell r="I51" t="str">
            <v>S</v>
          </cell>
        </row>
        <row r="52">
          <cell r="A52" t="str">
            <v>DP 4in x 3.34in  - 14 # NC46(IF) Grade G</v>
          </cell>
          <cell r="B52">
            <v>4</v>
          </cell>
          <cell r="C52">
            <v>3.34</v>
          </cell>
          <cell r="D52">
            <v>16.14</v>
          </cell>
          <cell r="E52" t="str">
            <v>NC46(IF)</v>
          </cell>
          <cell r="F52">
            <v>14</v>
          </cell>
          <cell r="G52">
            <v>6</v>
          </cell>
          <cell r="H52">
            <v>3.25</v>
          </cell>
          <cell r="I52" t="str">
            <v>G</v>
          </cell>
        </row>
        <row r="53">
          <cell r="A53" t="str">
            <v>DP 4in x 3.34in  - 14 # NC46(IF) Grade S</v>
          </cell>
          <cell r="B53">
            <v>4</v>
          </cell>
          <cell r="C53">
            <v>3.34</v>
          </cell>
          <cell r="D53">
            <v>16.38</v>
          </cell>
          <cell r="E53" t="str">
            <v>NC46(IF)</v>
          </cell>
          <cell r="F53">
            <v>14</v>
          </cell>
          <cell r="G53">
            <v>6</v>
          </cell>
          <cell r="H53">
            <v>3</v>
          </cell>
          <cell r="I53" t="str">
            <v>S</v>
          </cell>
        </row>
        <row r="54">
          <cell r="A54" t="str">
            <v>DP 4in x 3.34in  - 14 # NC40(FH) Grade X</v>
          </cell>
          <cell r="B54">
            <v>4</v>
          </cell>
          <cell r="C54">
            <v>3.34</v>
          </cell>
          <cell r="D54">
            <v>15.3</v>
          </cell>
          <cell r="E54" t="str">
            <v>NC40(FH)</v>
          </cell>
          <cell r="F54">
            <v>14</v>
          </cell>
          <cell r="G54">
            <v>5.25</v>
          </cell>
          <cell r="H54">
            <v>2.6875</v>
          </cell>
          <cell r="I54" t="str">
            <v>X</v>
          </cell>
        </row>
        <row r="55">
          <cell r="A55" t="str">
            <v>DP 4in x 3.34in  - 14 # H90 Grade X</v>
          </cell>
          <cell r="B55">
            <v>4</v>
          </cell>
          <cell r="C55">
            <v>3.34</v>
          </cell>
          <cell r="D55">
            <v>15.55</v>
          </cell>
          <cell r="E55" t="str">
            <v>H90</v>
          </cell>
          <cell r="F55">
            <v>14</v>
          </cell>
          <cell r="G55">
            <v>5.5</v>
          </cell>
          <cell r="H55">
            <v>2.8125</v>
          </cell>
          <cell r="I55" t="str">
            <v>X</v>
          </cell>
        </row>
        <row r="56">
          <cell r="A56" t="str">
            <v>DP 4in x 3.24in  - 15.7 # H90 Grade G</v>
          </cell>
          <cell r="B56">
            <v>4</v>
          </cell>
          <cell r="C56">
            <v>3.24</v>
          </cell>
          <cell r="D56">
            <v>17.170000000000002</v>
          </cell>
          <cell r="E56" t="str">
            <v>H90</v>
          </cell>
          <cell r="F56">
            <v>15.7</v>
          </cell>
          <cell r="G56">
            <v>5.5</v>
          </cell>
          <cell r="H56">
            <v>2.8125</v>
          </cell>
          <cell r="I56" t="str">
            <v>G</v>
          </cell>
        </row>
        <row r="57">
          <cell r="A57" t="str">
            <v>DP 4in x 3.24in  - 15.7 # NC46(IF) Grade G</v>
          </cell>
          <cell r="B57">
            <v>4</v>
          </cell>
          <cell r="C57">
            <v>3.24</v>
          </cell>
          <cell r="D57">
            <v>17.75</v>
          </cell>
          <cell r="E57" t="str">
            <v>NC46(IF)</v>
          </cell>
          <cell r="F57">
            <v>15.7</v>
          </cell>
          <cell r="G57">
            <v>6</v>
          </cell>
          <cell r="H57">
            <v>3.25</v>
          </cell>
          <cell r="I57" t="str">
            <v>G</v>
          </cell>
        </row>
        <row r="58">
          <cell r="A58" t="str">
            <v>DP 4in x 3.24in  - 15.7 #  Grade UNK</v>
          </cell>
          <cell r="B58">
            <v>4</v>
          </cell>
          <cell r="C58">
            <v>3.24</v>
          </cell>
          <cell r="D58">
            <v>17.510000000000002</v>
          </cell>
          <cell r="F58">
            <v>15.7</v>
          </cell>
          <cell r="I58" t="str">
            <v>UNK</v>
          </cell>
        </row>
        <row r="59">
          <cell r="A59" t="str">
            <v>DP 4in x 3.24in  - 15.7 # XT-39 Grade S</v>
          </cell>
          <cell r="B59">
            <v>4</v>
          </cell>
          <cell r="C59">
            <v>3.24</v>
          </cell>
          <cell r="D59">
            <v>17.59</v>
          </cell>
          <cell r="E59" t="str">
            <v>XT-39</v>
          </cell>
          <cell r="F59">
            <v>15.7</v>
          </cell>
          <cell r="G59">
            <v>5</v>
          </cell>
          <cell r="H59">
            <v>2.5630000000000002</v>
          </cell>
          <cell r="I59" t="str">
            <v>S</v>
          </cell>
        </row>
        <row r="60">
          <cell r="A60" t="str">
            <v>DP 4in x 3.24in  - 15.7 # 4" XT-39 Grade X</v>
          </cell>
          <cell r="B60">
            <v>4</v>
          </cell>
          <cell r="C60">
            <v>3.24</v>
          </cell>
          <cell r="D60">
            <v>17.59</v>
          </cell>
          <cell r="E60" t="str">
            <v>4" XT-39</v>
          </cell>
          <cell r="F60">
            <v>15.7</v>
          </cell>
          <cell r="G60">
            <v>5</v>
          </cell>
          <cell r="H60">
            <v>2.5630000000000002</v>
          </cell>
          <cell r="I60" t="str">
            <v>X</v>
          </cell>
        </row>
        <row r="61">
          <cell r="A61" t="str">
            <v>DP 4in x 3.24in  - 15.7 # NC40(FH) Grade X</v>
          </cell>
          <cell r="B61">
            <v>4</v>
          </cell>
          <cell r="C61">
            <v>3.24</v>
          </cell>
          <cell r="D61">
            <v>17.55</v>
          </cell>
          <cell r="E61" t="str">
            <v>NC40(FH)</v>
          </cell>
          <cell r="F61">
            <v>15.7</v>
          </cell>
          <cell r="G61">
            <v>5.5</v>
          </cell>
          <cell r="H61">
            <v>2.4375</v>
          </cell>
          <cell r="I61" t="str">
            <v>X</v>
          </cell>
        </row>
        <row r="62">
          <cell r="A62" t="str">
            <v>DP 4in x 3.24in  - 15.7 # H90 Grade X</v>
          </cell>
          <cell r="B62">
            <v>4</v>
          </cell>
          <cell r="C62">
            <v>3.24</v>
          </cell>
          <cell r="D62">
            <v>17.170000000000002</v>
          </cell>
          <cell r="E62" t="str">
            <v>H90</v>
          </cell>
          <cell r="F62">
            <v>15.7</v>
          </cell>
          <cell r="G62">
            <v>5.5</v>
          </cell>
          <cell r="H62">
            <v>2.8125</v>
          </cell>
          <cell r="I62" t="str">
            <v>X</v>
          </cell>
        </row>
        <row r="63">
          <cell r="A63" t="str">
            <v>DP 4in x 3.24in  - 15.7 # NC46(IF) Grade X</v>
          </cell>
          <cell r="B63">
            <v>4</v>
          </cell>
          <cell r="C63">
            <v>3.24</v>
          </cell>
          <cell r="D63">
            <v>17.75</v>
          </cell>
          <cell r="E63" t="str">
            <v>NC46(IF)</v>
          </cell>
          <cell r="F63">
            <v>15.7</v>
          </cell>
          <cell r="G63">
            <v>6</v>
          </cell>
          <cell r="H63">
            <v>3.25</v>
          </cell>
          <cell r="I63" t="str">
            <v>X</v>
          </cell>
        </row>
        <row r="64">
          <cell r="A64" t="str">
            <v>DP 3.5in x 2.764in  - 13.3 # NC38(IF) Grade G</v>
          </cell>
          <cell r="B64">
            <v>3.5</v>
          </cell>
          <cell r="C64">
            <v>2.7639999999999998</v>
          </cell>
          <cell r="D64">
            <v>14.49</v>
          </cell>
          <cell r="E64" t="str">
            <v>NC38(IF)</v>
          </cell>
          <cell r="F64">
            <v>13.3</v>
          </cell>
          <cell r="G64">
            <v>5</v>
          </cell>
          <cell r="H64">
            <v>2.4375</v>
          </cell>
          <cell r="I64" t="str">
            <v>G</v>
          </cell>
        </row>
        <row r="65">
          <cell r="A65" t="str">
            <v>DP 3.5in x 2.764in  - 13.3 # SLH90 Grade G</v>
          </cell>
          <cell r="B65">
            <v>3.5</v>
          </cell>
          <cell r="C65">
            <v>2.7639999999999998</v>
          </cell>
          <cell r="D65">
            <v>14.07</v>
          </cell>
          <cell r="E65" t="str">
            <v>SLH90</v>
          </cell>
          <cell r="F65">
            <v>13.3</v>
          </cell>
          <cell r="G65">
            <v>4.75</v>
          </cell>
          <cell r="H65">
            <v>2.5625</v>
          </cell>
          <cell r="I65" t="str">
            <v>G</v>
          </cell>
        </row>
        <row r="66">
          <cell r="A66" t="str">
            <v>DP 3.5in x 2.764in  - 13.3 # NC38(IF) Grade S</v>
          </cell>
          <cell r="B66">
            <v>3.5</v>
          </cell>
          <cell r="C66">
            <v>2.7639999999999998</v>
          </cell>
          <cell r="D66">
            <v>14.69</v>
          </cell>
          <cell r="E66" t="str">
            <v>NC38(IF)</v>
          </cell>
          <cell r="F66">
            <v>13.3</v>
          </cell>
          <cell r="G66">
            <v>5</v>
          </cell>
          <cell r="H66">
            <v>2.125</v>
          </cell>
          <cell r="I66" t="str">
            <v>S</v>
          </cell>
        </row>
        <row r="67">
          <cell r="A67" t="str">
            <v>DP 3.5in x 2.764in  - 13.3 # NC40(FH) Grade S</v>
          </cell>
          <cell r="B67">
            <v>3.5</v>
          </cell>
          <cell r="C67">
            <v>2.7639999999999998</v>
          </cell>
          <cell r="D67">
            <v>15.04</v>
          </cell>
          <cell r="E67" t="str">
            <v>NC40(FH)</v>
          </cell>
          <cell r="F67">
            <v>13.3</v>
          </cell>
          <cell r="G67">
            <v>5.375</v>
          </cell>
          <cell r="H67">
            <v>2.4375</v>
          </cell>
          <cell r="I67" t="str">
            <v>S</v>
          </cell>
        </row>
        <row r="68">
          <cell r="A68" t="str">
            <v>DP 3.5in x 2.764in  - 13.3 # NC38(IF) Grade X</v>
          </cell>
          <cell r="B68">
            <v>3.5</v>
          </cell>
          <cell r="C68">
            <v>2.7639999999999998</v>
          </cell>
          <cell r="D68">
            <v>14.41</v>
          </cell>
          <cell r="E68" t="str">
            <v>NC38(IF)</v>
          </cell>
          <cell r="F68">
            <v>13.3</v>
          </cell>
          <cell r="G68">
            <v>5</v>
          </cell>
          <cell r="H68">
            <v>2.5625</v>
          </cell>
          <cell r="I68" t="str">
            <v>X</v>
          </cell>
        </row>
        <row r="69">
          <cell r="A69" t="str">
            <v>DP 3.5in x 2.764in  - 13.3 # SLH90 Grade X</v>
          </cell>
          <cell r="B69">
            <v>3.5</v>
          </cell>
          <cell r="C69">
            <v>2.7639999999999998</v>
          </cell>
          <cell r="D69">
            <v>14.07</v>
          </cell>
          <cell r="E69" t="str">
            <v>SLH90</v>
          </cell>
          <cell r="F69">
            <v>13.3</v>
          </cell>
          <cell r="G69">
            <v>4.75</v>
          </cell>
          <cell r="H69">
            <v>2.5625</v>
          </cell>
          <cell r="I69" t="str">
            <v>X</v>
          </cell>
        </row>
        <row r="70">
          <cell r="A70" t="str">
            <v>DP 3.5in x 2.764in  - 13.3 # H90 Grade X</v>
          </cell>
          <cell r="B70">
            <v>3.5</v>
          </cell>
          <cell r="C70">
            <v>2.7639999999999998</v>
          </cell>
          <cell r="D70">
            <v>14.63</v>
          </cell>
          <cell r="E70" t="str">
            <v>H90</v>
          </cell>
          <cell r="F70">
            <v>13.3</v>
          </cell>
          <cell r="G70">
            <v>5.25</v>
          </cell>
          <cell r="H70">
            <v>2.75</v>
          </cell>
          <cell r="I70" t="str">
            <v>X</v>
          </cell>
        </row>
        <row r="71">
          <cell r="A71" t="str">
            <v>DP 3.5in x 2.602in  - 15.5 # NC38(IF) Grade G</v>
          </cell>
          <cell r="B71">
            <v>3.5</v>
          </cell>
          <cell r="C71">
            <v>2.6019999999999999</v>
          </cell>
          <cell r="D71">
            <v>16.88</v>
          </cell>
          <cell r="E71" t="str">
            <v>NC38(IF)</v>
          </cell>
          <cell r="F71">
            <v>15.5</v>
          </cell>
          <cell r="G71">
            <v>5</v>
          </cell>
          <cell r="H71">
            <v>2.125</v>
          </cell>
          <cell r="I71" t="str">
            <v>G</v>
          </cell>
        </row>
        <row r="72">
          <cell r="A72" t="str">
            <v>DP 3.5in x 2.602in  - 15.5 # NC40(FH) Grade G</v>
          </cell>
          <cell r="B72">
            <v>3.5</v>
          </cell>
          <cell r="C72">
            <v>2.6019999999999999</v>
          </cell>
          <cell r="D72">
            <v>16.96</v>
          </cell>
          <cell r="E72" t="str">
            <v>NC40(FH)</v>
          </cell>
          <cell r="F72">
            <v>15.5</v>
          </cell>
          <cell r="G72">
            <v>5.25</v>
          </cell>
          <cell r="H72">
            <v>2.4380000000000002</v>
          </cell>
          <cell r="I72" t="str">
            <v>G</v>
          </cell>
        </row>
        <row r="73">
          <cell r="A73" t="str">
            <v>DP 3.5in x 2.602in  - 15.5 # NC40(FH) Grade S</v>
          </cell>
          <cell r="B73">
            <v>3.5</v>
          </cell>
          <cell r="C73">
            <v>2.6019999999999999</v>
          </cell>
          <cell r="D73">
            <v>17.559999999999999</v>
          </cell>
          <cell r="E73" t="str">
            <v>NC40(FH)</v>
          </cell>
          <cell r="F73">
            <v>15.5</v>
          </cell>
          <cell r="G73">
            <v>5.5</v>
          </cell>
          <cell r="H73">
            <v>2.25</v>
          </cell>
          <cell r="I73" t="str">
            <v>S</v>
          </cell>
        </row>
        <row r="74">
          <cell r="A74" t="str">
            <v>DP 3.5in x 2.602in  - 15.5 # NC38(IF) Grade X</v>
          </cell>
          <cell r="B74">
            <v>3.5</v>
          </cell>
          <cell r="C74">
            <v>2.6019999999999999</v>
          </cell>
          <cell r="D74">
            <v>16.690000000000001</v>
          </cell>
          <cell r="E74" t="str">
            <v>NC38(IF)</v>
          </cell>
          <cell r="F74">
            <v>15.5</v>
          </cell>
          <cell r="G74">
            <v>5</v>
          </cell>
          <cell r="H74">
            <v>2.4375</v>
          </cell>
          <cell r="I74" t="str">
            <v>X</v>
          </cell>
        </row>
        <row r="75">
          <cell r="A75" t="str">
            <v>DP 2.875in x 2.151in  - 10.4 # NC31(IF) Grade G</v>
          </cell>
          <cell r="B75">
            <v>2.875</v>
          </cell>
          <cell r="C75">
            <v>2.1509999999999998</v>
          </cell>
          <cell r="D75">
            <v>10.96</v>
          </cell>
          <cell r="E75" t="str">
            <v>NC31(IF)</v>
          </cell>
          <cell r="F75">
            <v>10.4</v>
          </cell>
          <cell r="G75">
            <v>4.125</v>
          </cell>
          <cell r="H75">
            <v>2</v>
          </cell>
          <cell r="I75" t="str">
            <v>G</v>
          </cell>
        </row>
        <row r="76">
          <cell r="A76" t="str">
            <v>DP 2.875in x 2.151in  - 10.4 # SLH90 Grade G</v>
          </cell>
          <cell r="B76">
            <v>2.875</v>
          </cell>
          <cell r="C76">
            <v>2.1509999999999998</v>
          </cell>
          <cell r="D76">
            <v>10.84</v>
          </cell>
          <cell r="E76" t="str">
            <v>SLH90</v>
          </cell>
          <cell r="F76">
            <v>10.4</v>
          </cell>
          <cell r="G76">
            <v>4</v>
          </cell>
          <cell r="H76">
            <v>2</v>
          </cell>
          <cell r="I76" t="str">
            <v>G</v>
          </cell>
        </row>
        <row r="77">
          <cell r="A77" t="str">
            <v>DP 2.875in x 2.151in  - 10.4 # NC31(IF) Grade S</v>
          </cell>
          <cell r="B77">
            <v>2.875</v>
          </cell>
          <cell r="C77">
            <v>2.1509999999999998</v>
          </cell>
          <cell r="D77">
            <v>11.38</v>
          </cell>
          <cell r="E77" t="str">
            <v>NC31(IF)</v>
          </cell>
          <cell r="F77">
            <v>10.4</v>
          </cell>
          <cell r="G77">
            <v>4.375</v>
          </cell>
          <cell r="H77">
            <v>1.625</v>
          </cell>
          <cell r="I77" t="str">
            <v>S</v>
          </cell>
        </row>
        <row r="78">
          <cell r="A78" t="str">
            <v>DP 2.875in x 2.151in  - 10.4 # NC31(IF) Grade X</v>
          </cell>
          <cell r="B78">
            <v>2.875</v>
          </cell>
          <cell r="C78">
            <v>2.1509999999999998</v>
          </cell>
          <cell r="D78">
            <v>10.96</v>
          </cell>
          <cell r="E78" t="str">
            <v>NC31(IF)</v>
          </cell>
          <cell r="F78">
            <v>10.4</v>
          </cell>
          <cell r="G78">
            <v>4.125</v>
          </cell>
          <cell r="H78">
            <v>2</v>
          </cell>
          <cell r="I78" t="str">
            <v>X</v>
          </cell>
        </row>
        <row r="79">
          <cell r="A79" t="str">
            <v>DP 2.875in x 2.151in  - 10.4 # SLH90 Grade X</v>
          </cell>
          <cell r="B79">
            <v>2.875</v>
          </cell>
          <cell r="C79">
            <v>2.1509999999999998</v>
          </cell>
          <cell r="D79">
            <v>10.84</v>
          </cell>
          <cell r="E79" t="str">
            <v>SLH90</v>
          </cell>
          <cell r="F79">
            <v>10.4</v>
          </cell>
          <cell r="G79">
            <v>4</v>
          </cell>
          <cell r="H79">
            <v>2</v>
          </cell>
          <cell r="I79" t="str">
            <v>X</v>
          </cell>
        </row>
        <row r="80">
          <cell r="A80" t="str">
            <v>DP 2.375in x 1.815in  - 6.65 # NC26(IF) Grade G</v>
          </cell>
          <cell r="B80">
            <v>2.375</v>
          </cell>
          <cell r="C80">
            <v>1.8149999999999999</v>
          </cell>
          <cell r="D80">
            <v>7.01</v>
          </cell>
          <cell r="E80" t="str">
            <v>NC26(IF)</v>
          </cell>
          <cell r="F80">
            <v>6.65</v>
          </cell>
          <cell r="G80">
            <v>3.375</v>
          </cell>
          <cell r="H80">
            <v>1.75</v>
          </cell>
          <cell r="I80" t="str">
            <v>G</v>
          </cell>
        </row>
        <row r="81">
          <cell r="A81" t="str">
            <v>DP 2.375in x 1.815in  - 6.65 # NC26(IF) Grade X</v>
          </cell>
          <cell r="B81">
            <v>2.375</v>
          </cell>
          <cell r="C81">
            <v>1.8149999999999999</v>
          </cell>
          <cell r="D81">
            <v>7.01</v>
          </cell>
          <cell r="E81" t="str">
            <v>NC26(IF)</v>
          </cell>
          <cell r="F81">
            <v>6.65</v>
          </cell>
          <cell r="G81">
            <v>3.375</v>
          </cell>
          <cell r="H81">
            <v>1.75</v>
          </cell>
          <cell r="I81" t="str">
            <v>X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F676-AD2D-472A-A2D0-A8E484E04898}">
  <dimension ref="A1:Z186"/>
  <sheetViews>
    <sheetView tabSelected="1" workbookViewId="0">
      <selection sqref="A1:XFD1048576"/>
    </sheetView>
  </sheetViews>
  <sheetFormatPr defaultRowHeight="14.4" x14ac:dyDescent="0.3"/>
  <cols>
    <col min="1" max="1" width="38.88671875" bestFit="1" customWidth="1"/>
    <col min="10" max="10" width="9.5546875" bestFit="1" customWidth="1"/>
    <col min="11" max="11" width="9.5546875" customWidth="1"/>
    <col min="12" max="12" width="40.44140625" customWidth="1"/>
    <col min="26" max="26" width="11.5546875" bestFit="1" customWidth="1"/>
  </cols>
  <sheetData>
    <row r="1" spans="1:26" ht="20.39999999999999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L1" s="1" t="s">
        <v>0</v>
      </c>
      <c r="M1" s="1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5" t="s">
        <v>7</v>
      </c>
      <c r="T1" s="4" t="s">
        <v>9</v>
      </c>
      <c r="U1" s="4" t="s">
        <v>10</v>
      </c>
      <c r="V1" s="4" t="s">
        <v>11</v>
      </c>
      <c r="W1" s="4" t="s">
        <v>12</v>
      </c>
      <c r="X1" s="4" t="s">
        <v>13</v>
      </c>
      <c r="Y1" s="4" t="s">
        <v>14</v>
      </c>
      <c r="Z1" s="4" t="s">
        <v>15</v>
      </c>
    </row>
    <row r="2" spans="1:26" x14ac:dyDescent="0.3">
      <c r="A2" s="6" t="str">
        <f>CONCATENATE("DP ", B2,"in x ",C2,"in  - ",F2, " # ", E2, " Grade ",I2)</f>
        <v>DP 6.625in x 5.965in  - 25.2 # FH Grade G</v>
      </c>
      <c r="B2" s="6">
        <v>6.625</v>
      </c>
      <c r="C2" s="6">
        <v>5.9649999999999999</v>
      </c>
      <c r="D2" s="7">
        <v>27.3</v>
      </c>
      <c r="E2" s="8" t="s">
        <v>16</v>
      </c>
      <c r="F2" s="7">
        <v>25.2</v>
      </c>
      <c r="G2" s="6">
        <v>8.25</v>
      </c>
      <c r="H2" s="9">
        <v>4.5</v>
      </c>
      <c r="I2" s="8" t="s">
        <v>17</v>
      </c>
      <c r="L2" s="6" t="str">
        <f>CONCATENATE("BIT PDC  ", Z2, " ",M2, "in - ",O2, " # ")</f>
        <v xml:space="preserve">BIT PDC   6.125in - 48.18 # </v>
      </c>
      <c r="M2" s="10">
        <v>6.125</v>
      </c>
      <c r="N2" s="10">
        <v>1.5</v>
      </c>
      <c r="O2" s="11">
        <v>48.18</v>
      </c>
      <c r="P2" s="10"/>
      <c r="Q2" s="10"/>
      <c r="R2" s="10"/>
      <c r="S2" s="12"/>
      <c r="T2" s="10"/>
      <c r="U2" s="10"/>
      <c r="V2" s="10"/>
      <c r="W2" s="10"/>
      <c r="X2" s="10"/>
      <c r="Y2" s="10"/>
      <c r="Z2" s="10"/>
    </row>
    <row r="3" spans="1:26" x14ac:dyDescent="0.3">
      <c r="A3" s="6" t="str">
        <f t="shared" ref="A3:A69" si="0">CONCATENATE("DP ", B3,"in x ",C3,"in  - ",F3, " # ", E3, " Grade ",I3)</f>
        <v>DP 6.625in x 5.965in  - 25.2 # FH Grade S</v>
      </c>
      <c r="B3" s="6">
        <v>6.625</v>
      </c>
      <c r="C3" s="6">
        <v>5.9649999999999999</v>
      </c>
      <c r="D3" s="7">
        <v>27.3</v>
      </c>
      <c r="E3" s="8" t="s">
        <v>16</v>
      </c>
      <c r="F3" s="13">
        <v>25.2</v>
      </c>
      <c r="G3" s="6">
        <v>8.5</v>
      </c>
      <c r="H3" s="9">
        <v>4</v>
      </c>
      <c r="I3" s="8" t="s">
        <v>18</v>
      </c>
      <c r="L3" s="6" t="str">
        <f>CONCATENATE("BIT PDC  ", Z3, " ",M3, "in - ",O3, " # ")</f>
        <v xml:space="preserve">BIT PDC  Generic 6in - 50 # </v>
      </c>
      <c r="M3" s="10">
        <v>6</v>
      </c>
      <c r="N3" s="10">
        <v>1.5</v>
      </c>
      <c r="O3" s="11">
        <v>50</v>
      </c>
      <c r="P3" s="10"/>
      <c r="Q3" s="10"/>
      <c r="R3" s="10"/>
      <c r="S3" s="12"/>
      <c r="T3" s="10"/>
      <c r="U3" s="10"/>
      <c r="V3" s="10"/>
      <c r="W3" s="10"/>
      <c r="X3" s="10">
        <v>0.75</v>
      </c>
      <c r="Y3" s="10"/>
      <c r="Z3" s="10" t="s">
        <v>19</v>
      </c>
    </row>
    <row r="4" spans="1:26" x14ac:dyDescent="0.3">
      <c r="A4" s="6" t="str">
        <f t="shared" si="0"/>
        <v>DP 6.625in x 5.965in  - 25.2 # FH Grade X</v>
      </c>
      <c r="B4" s="6">
        <v>6.625</v>
      </c>
      <c r="C4" s="6">
        <v>5.9649999999999999</v>
      </c>
      <c r="D4" s="6">
        <v>27.3</v>
      </c>
      <c r="E4" s="8" t="s">
        <v>16</v>
      </c>
      <c r="F4" s="7">
        <v>25.2</v>
      </c>
      <c r="G4" s="6">
        <v>8</v>
      </c>
      <c r="H4" s="9">
        <v>4.75</v>
      </c>
      <c r="I4" s="8" t="s">
        <v>20</v>
      </c>
      <c r="L4" s="6" t="str">
        <f>CONCATENATE("BIT PDC  ", Z4, " ",M4, "in - ",O4, " # ")</f>
        <v xml:space="preserve">BIT PDC  Smith 12.25in - 81.6 # </v>
      </c>
      <c r="M4" s="10">
        <v>12.25</v>
      </c>
      <c r="N4" s="10"/>
      <c r="O4" s="11">
        <f>ROUND((Y4/X4),1)</f>
        <v>81.599999999999994</v>
      </c>
      <c r="P4" s="10"/>
      <c r="Q4" s="10"/>
      <c r="R4" s="10"/>
      <c r="S4" s="12"/>
      <c r="T4" s="10"/>
      <c r="U4" s="10"/>
      <c r="V4" s="10"/>
      <c r="W4" s="10"/>
      <c r="X4" s="10">
        <v>0.98</v>
      </c>
      <c r="Y4" s="10">
        <v>80</v>
      </c>
      <c r="Z4" s="10" t="s">
        <v>21</v>
      </c>
    </row>
    <row r="5" spans="1:26" x14ac:dyDescent="0.3">
      <c r="A5" s="6" t="str">
        <f t="shared" si="0"/>
        <v>DP 5.875in x 4in  -  # XT 57 Grade X</v>
      </c>
      <c r="B5" s="8">
        <v>5.875</v>
      </c>
      <c r="C5" s="6">
        <v>4</v>
      </c>
      <c r="D5" s="6"/>
      <c r="E5" s="8" t="s">
        <v>22</v>
      </c>
      <c r="F5" s="7"/>
      <c r="G5" s="6">
        <v>7</v>
      </c>
      <c r="H5" s="9">
        <v>4</v>
      </c>
      <c r="I5" s="8" t="s">
        <v>20</v>
      </c>
      <c r="L5" s="6" t="str">
        <f t="shared" ref="L5:L10" si="1">CONCATENATE("BIT TCI  ", Z5, " ",M5, "in - ",O5, " # ")</f>
        <v xml:space="preserve">BIT TCI  Smith  22in - 200 # </v>
      </c>
      <c r="M5" s="10">
        <v>22</v>
      </c>
      <c r="N5" s="10"/>
      <c r="O5" s="11">
        <v>200</v>
      </c>
      <c r="P5" s="10"/>
      <c r="Q5" s="10"/>
      <c r="R5" s="10"/>
      <c r="S5" s="12"/>
      <c r="T5" s="10"/>
      <c r="U5" s="10"/>
      <c r="V5" s="10"/>
      <c r="W5" s="10"/>
      <c r="X5" s="10">
        <v>1.84</v>
      </c>
      <c r="Y5" s="10"/>
      <c r="Z5" s="10" t="s">
        <v>23</v>
      </c>
    </row>
    <row r="6" spans="1:26" x14ac:dyDescent="0.3">
      <c r="A6" s="6" t="str">
        <f t="shared" si="0"/>
        <v>DP 5.5in x 4.778in  - 21.9 # FH Grade G</v>
      </c>
      <c r="B6" s="6">
        <v>5.5</v>
      </c>
      <c r="C6" s="6">
        <v>4.7779999999999996</v>
      </c>
      <c r="D6" s="8">
        <v>25.21</v>
      </c>
      <c r="E6" s="8" t="s">
        <v>16</v>
      </c>
      <c r="F6" s="7">
        <v>21.9</v>
      </c>
      <c r="G6" s="6">
        <v>7.25</v>
      </c>
      <c r="H6" s="9">
        <v>3.5</v>
      </c>
      <c r="I6" s="8" t="s">
        <v>17</v>
      </c>
      <c r="L6" s="6" t="str">
        <f t="shared" si="1"/>
        <v xml:space="preserve">BIT TCI  Smith 12.25in - 187.5 # </v>
      </c>
      <c r="M6" s="10">
        <v>12.25</v>
      </c>
      <c r="N6" s="10"/>
      <c r="O6" s="11">
        <f>ROUND((Y6/X6),1)</f>
        <v>187.5</v>
      </c>
      <c r="P6" s="10"/>
      <c r="Q6" s="10"/>
      <c r="R6" s="10"/>
      <c r="S6" s="12"/>
      <c r="T6" s="10"/>
      <c r="U6" s="10"/>
      <c r="V6" s="10"/>
      <c r="W6" s="10"/>
      <c r="X6" s="10">
        <v>1.2</v>
      </c>
      <c r="Y6" s="10">
        <v>225</v>
      </c>
      <c r="Z6" s="10" t="s">
        <v>21</v>
      </c>
    </row>
    <row r="7" spans="1:26" x14ac:dyDescent="0.3">
      <c r="A7" s="6" t="str">
        <f t="shared" si="0"/>
        <v>DP 5.5in x 4.778in  - 21.9 # FH Grade S</v>
      </c>
      <c r="B7" s="6">
        <v>5.5</v>
      </c>
      <c r="C7" s="6">
        <v>4.7779999999999996</v>
      </c>
      <c r="D7" s="7">
        <v>26.33</v>
      </c>
      <c r="E7" s="8" t="s">
        <v>16</v>
      </c>
      <c r="F7" s="13">
        <v>21.9</v>
      </c>
      <c r="G7" s="6">
        <v>7.5</v>
      </c>
      <c r="H7" s="9">
        <v>3</v>
      </c>
      <c r="I7" s="8" t="s">
        <v>18</v>
      </c>
      <c r="L7" s="6" t="str">
        <f t="shared" si="1"/>
        <v xml:space="preserve">BIT TCI  Smith 16in - 300 # </v>
      </c>
      <c r="M7" s="10">
        <v>16</v>
      </c>
      <c r="N7" s="10">
        <v>2</v>
      </c>
      <c r="O7" s="11">
        <f>ROUND((Y7/X7),1)</f>
        <v>300</v>
      </c>
      <c r="P7" s="10"/>
      <c r="Q7" s="10"/>
      <c r="R7" s="10"/>
      <c r="S7" s="12"/>
      <c r="T7" s="10"/>
      <c r="U7" s="10"/>
      <c r="V7" s="10"/>
      <c r="W7" s="10"/>
      <c r="X7" s="10">
        <v>1.5</v>
      </c>
      <c r="Y7" s="10">
        <v>450</v>
      </c>
      <c r="Z7" s="10" t="s">
        <v>21</v>
      </c>
    </row>
    <row r="8" spans="1:26" x14ac:dyDescent="0.3">
      <c r="A8" s="6" t="str">
        <f t="shared" si="0"/>
        <v>DP 5.5in x 4.778in  - 21.9 # FH Grade X</v>
      </c>
      <c r="B8" s="6">
        <v>5.5</v>
      </c>
      <c r="C8" s="6">
        <v>4.7779999999999996</v>
      </c>
      <c r="D8" s="6">
        <v>24.37</v>
      </c>
      <c r="E8" s="8" t="s">
        <v>16</v>
      </c>
      <c r="F8" s="7">
        <v>21.9</v>
      </c>
      <c r="G8" s="6">
        <v>7</v>
      </c>
      <c r="H8" s="9">
        <v>3.75</v>
      </c>
      <c r="I8" s="8" t="s">
        <v>20</v>
      </c>
      <c r="L8" s="6" t="str">
        <f t="shared" si="1"/>
        <v xml:space="preserve">BIT TCI  Smith 6in - 64.3 # </v>
      </c>
      <c r="M8" s="10">
        <v>6</v>
      </c>
      <c r="N8" s="10"/>
      <c r="O8" s="11">
        <f>ROUND((Y8/X8),1)</f>
        <v>64.3</v>
      </c>
      <c r="P8" s="10"/>
      <c r="Q8" s="10"/>
      <c r="R8" s="10"/>
      <c r="S8" s="12"/>
      <c r="T8" s="10"/>
      <c r="U8" s="10"/>
      <c r="V8" s="10"/>
      <c r="W8" s="10"/>
      <c r="X8" s="10">
        <v>0.7</v>
      </c>
      <c r="Y8" s="10">
        <v>45</v>
      </c>
      <c r="Z8" s="10" t="s">
        <v>21</v>
      </c>
    </row>
    <row r="9" spans="1:26" x14ac:dyDescent="0.3">
      <c r="A9" s="6" t="str">
        <f t="shared" si="0"/>
        <v>DP 5.5in x 4.778in  - 21.9 # H90 Grade X</v>
      </c>
      <c r="B9" s="6">
        <v>5.5</v>
      </c>
      <c r="C9" s="6">
        <v>4.7779999999999996</v>
      </c>
      <c r="D9" s="6">
        <v>24.64</v>
      </c>
      <c r="E9" s="8" t="s">
        <v>24</v>
      </c>
      <c r="F9" s="7">
        <v>21.9</v>
      </c>
      <c r="G9" s="6">
        <v>7</v>
      </c>
      <c r="H9" s="9">
        <v>3.5</v>
      </c>
      <c r="I9" s="8" t="s">
        <v>20</v>
      </c>
      <c r="L9" s="6" t="str">
        <f t="shared" si="1"/>
        <v xml:space="preserve">BIT TCI  Smith 8.5in - 95 # </v>
      </c>
      <c r="M9" s="10">
        <v>8.5</v>
      </c>
      <c r="N9" s="10"/>
      <c r="O9" s="14">
        <f>ROUND((Y9/X9),1)</f>
        <v>95</v>
      </c>
      <c r="P9" s="10"/>
      <c r="Q9" s="10"/>
      <c r="R9" s="10"/>
      <c r="S9" s="12"/>
      <c r="T9" s="10"/>
      <c r="U9" s="10"/>
      <c r="V9" s="10"/>
      <c r="W9" s="10"/>
      <c r="X9" s="10">
        <v>1</v>
      </c>
      <c r="Y9" s="10">
        <v>95</v>
      </c>
      <c r="Z9" s="10" t="s">
        <v>21</v>
      </c>
    </row>
    <row r="10" spans="1:26" x14ac:dyDescent="0.3">
      <c r="A10" s="6" t="str">
        <f t="shared" si="0"/>
        <v>DP 5.5in x 4.67in  - 24.7 # FH Grade G</v>
      </c>
      <c r="B10" s="6">
        <v>5.5</v>
      </c>
      <c r="C10" s="6">
        <v>4.67</v>
      </c>
      <c r="D10" s="8">
        <v>27.76</v>
      </c>
      <c r="E10" s="8" t="s">
        <v>16</v>
      </c>
      <c r="F10" s="7">
        <v>24.7</v>
      </c>
      <c r="G10" s="6">
        <v>7.25</v>
      </c>
      <c r="H10" s="9">
        <v>3.5</v>
      </c>
      <c r="I10" s="8" t="s">
        <v>17</v>
      </c>
      <c r="L10" s="6" t="str">
        <f t="shared" si="1"/>
        <v xml:space="preserve">BIT TCI   6.125in - 66.45 # </v>
      </c>
      <c r="M10" s="10">
        <v>6.125</v>
      </c>
      <c r="N10" s="10">
        <v>1.25</v>
      </c>
      <c r="O10" s="14">
        <f>ROUND((Y10/X10),2)</f>
        <v>66.45</v>
      </c>
      <c r="P10" s="10"/>
      <c r="Q10" s="10"/>
      <c r="R10" s="10"/>
      <c r="S10" s="12"/>
      <c r="T10" s="10"/>
      <c r="U10" s="10"/>
      <c r="V10" s="10"/>
      <c r="W10" s="10"/>
      <c r="X10" s="10">
        <v>0.36</v>
      </c>
      <c r="Y10" s="10">
        <f>X10*66.45</f>
        <v>23.922000000000001</v>
      </c>
      <c r="Z10" s="10"/>
    </row>
    <row r="11" spans="1:26" ht="15" customHeight="1" x14ac:dyDescent="0.3">
      <c r="A11" s="6" t="str">
        <f t="shared" si="0"/>
        <v>DP 5.5in x 4.67in  - 24.7 # FH Grade S</v>
      </c>
      <c r="B11" s="6">
        <v>5.5</v>
      </c>
      <c r="C11" s="6">
        <v>4.67</v>
      </c>
      <c r="D11" s="7">
        <v>28.87</v>
      </c>
      <c r="E11" s="8" t="s">
        <v>16</v>
      </c>
      <c r="F11" s="13">
        <v>24.7</v>
      </c>
      <c r="G11" s="6">
        <v>7.5</v>
      </c>
      <c r="H11" s="9">
        <v>3</v>
      </c>
      <c r="I11" s="8" t="s">
        <v>18</v>
      </c>
      <c r="L11" s="6" t="str">
        <f>CONCATENATE("DC  ",M11,"in x ",N11,"in  - ",O11, " # ")</f>
        <v xml:space="preserve">DC  10in x 3in  - 240 # </v>
      </c>
      <c r="M11" s="6">
        <v>10</v>
      </c>
      <c r="N11" s="6">
        <v>3</v>
      </c>
      <c r="O11" s="15">
        <v>240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3">
      <c r="A12" s="6" t="str">
        <f t="shared" si="0"/>
        <v>DP 5.5in x 4.67in  - 24.7 # FH Grade X</v>
      </c>
      <c r="B12" s="6">
        <v>5.5</v>
      </c>
      <c r="C12" s="6">
        <v>4.67</v>
      </c>
      <c r="D12" s="6">
        <v>27.76</v>
      </c>
      <c r="E12" s="8" t="s">
        <v>16</v>
      </c>
      <c r="F12" s="7">
        <v>24.7</v>
      </c>
      <c r="G12" s="6">
        <v>7.25</v>
      </c>
      <c r="H12" s="9">
        <v>3.5</v>
      </c>
      <c r="I12" s="8" t="s">
        <v>20</v>
      </c>
      <c r="L12" s="6" t="str">
        <f t="shared" ref="L12:L52" si="2">CONCATENATE("DC  ",M12,"in x ",N12,"in  - ",O12, " # ", P12)</f>
        <v xml:space="preserve">DC  3.5in x 1.25in  - 29 # </v>
      </c>
      <c r="M12" s="6">
        <v>3.5</v>
      </c>
      <c r="N12" s="6">
        <v>1.25</v>
      </c>
      <c r="O12" s="15">
        <v>29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3">
      <c r="A13" s="6" t="str">
        <f t="shared" si="0"/>
        <v>DP 5in x 4.276in  - 19.5 # H89 Grade G</v>
      </c>
      <c r="B13" s="6">
        <v>5</v>
      </c>
      <c r="C13" s="6">
        <v>4.2759999999999998</v>
      </c>
      <c r="D13" s="7">
        <v>22.32</v>
      </c>
      <c r="E13" s="8" t="s">
        <v>25</v>
      </c>
      <c r="F13" s="7">
        <v>19.5</v>
      </c>
      <c r="G13" s="6">
        <v>6.5</v>
      </c>
      <c r="H13" s="9">
        <v>3</v>
      </c>
      <c r="I13" s="8" t="s">
        <v>17</v>
      </c>
      <c r="L13" s="6" t="str">
        <f t="shared" si="2"/>
        <v xml:space="preserve">DC  3.5in x 1.5in  - 27 # </v>
      </c>
      <c r="M13" s="6">
        <v>3.5</v>
      </c>
      <c r="N13" s="6">
        <v>1.5</v>
      </c>
      <c r="O13" s="15">
        <v>27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3">
      <c r="A14" s="6" t="str">
        <f t="shared" si="0"/>
        <v>DP 5in x 4.276in  - 19.5 # H90 Grade G</v>
      </c>
      <c r="B14" s="6">
        <v>5</v>
      </c>
      <c r="C14" s="6">
        <v>4.2759999999999998</v>
      </c>
      <c r="D14" s="7">
        <v>22.32</v>
      </c>
      <c r="E14" s="8" t="s">
        <v>24</v>
      </c>
      <c r="F14" s="7">
        <v>19.5</v>
      </c>
      <c r="G14" s="6">
        <v>6.5</v>
      </c>
      <c r="H14" s="9">
        <v>3</v>
      </c>
      <c r="I14" s="8" t="s">
        <v>17</v>
      </c>
      <c r="L14" s="6" t="str">
        <f t="shared" si="2"/>
        <v xml:space="preserve">DC  3.5in x 1.75in  - 25 # </v>
      </c>
      <c r="M14" s="6">
        <v>3.5</v>
      </c>
      <c r="N14" s="6">
        <v>1.75</v>
      </c>
      <c r="O14" s="15">
        <v>25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3">
      <c r="A15" s="6" t="str">
        <f t="shared" si="0"/>
        <v xml:space="preserve">DP 5in x 4.375in  - 21.92 #  Grade </v>
      </c>
      <c r="B15" s="6">
        <v>5</v>
      </c>
      <c r="C15" s="6">
        <v>4.375</v>
      </c>
      <c r="D15" s="8">
        <v>21.92</v>
      </c>
      <c r="E15" s="8"/>
      <c r="F15" s="7">
        <v>21.92</v>
      </c>
      <c r="G15" s="6">
        <v>6.5</v>
      </c>
      <c r="H15" s="9">
        <v>3.25</v>
      </c>
      <c r="I15" s="8"/>
      <c r="L15" s="6" t="str">
        <f t="shared" si="2"/>
        <v xml:space="preserve">DC  4.75in x 1.5in  - 54 # </v>
      </c>
      <c r="M15" s="6">
        <v>4.75</v>
      </c>
      <c r="N15" s="6">
        <v>1.5</v>
      </c>
      <c r="O15" s="15">
        <v>54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3">
      <c r="A16" s="6" t="str">
        <f t="shared" si="0"/>
        <v>DP 5in x 4.276in  - 19.5 # NC50(XH) Grade S</v>
      </c>
      <c r="B16" s="6">
        <v>5</v>
      </c>
      <c r="C16" s="6">
        <v>4.2759999999999998</v>
      </c>
      <c r="D16" s="7">
        <v>22.6</v>
      </c>
      <c r="E16" s="8" t="s">
        <v>26</v>
      </c>
      <c r="F16" s="13">
        <v>19.5</v>
      </c>
      <c r="G16" s="6">
        <v>6.625</v>
      </c>
      <c r="H16" s="9">
        <v>2.75</v>
      </c>
      <c r="I16" s="8" t="s">
        <v>18</v>
      </c>
      <c r="L16" s="6" t="str">
        <f t="shared" si="2"/>
        <v xml:space="preserve">DC  4.75in x 1.75in  - 52 # </v>
      </c>
      <c r="M16" s="6">
        <v>4.75</v>
      </c>
      <c r="N16" s="6">
        <v>1.75</v>
      </c>
      <c r="O16" s="15">
        <v>52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3">
      <c r="A17" s="6" t="str">
        <f t="shared" si="0"/>
        <v>DP 5in x 4.276in  - 19.5 # NC50(XH) Grade X</v>
      </c>
      <c r="B17" s="6">
        <v>5</v>
      </c>
      <c r="C17" s="6">
        <v>4.2759999999999998</v>
      </c>
      <c r="D17" s="6">
        <v>21.44</v>
      </c>
      <c r="E17" s="8" t="s">
        <v>26</v>
      </c>
      <c r="F17" s="7">
        <v>19.5</v>
      </c>
      <c r="G17" s="6">
        <v>6.375</v>
      </c>
      <c r="H17" s="9">
        <v>3.5</v>
      </c>
      <c r="I17" s="8" t="s">
        <v>20</v>
      </c>
      <c r="L17" s="6" t="str">
        <f t="shared" si="2"/>
        <v xml:space="preserve">DC  4.75in x 2.25in  - 47 # </v>
      </c>
      <c r="M17" s="6">
        <v>4.75</v>
      </c>
      <c r="N17" s="6">
        <v>2.25</v>
      </c>
      <c r="O17" s="15">
        <v>47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3">
      <c r="A18" s="6" t="str">
        <f t="shared" si="0"/>
        <v>DP 5in x 4.276in  - 19.5 # H90 Grade X</v>
      </c>
      <c r="B18" s="6">
        <v>5</v>
      </c>
      <c r="C18" s="6">
        <v>4.2759999999999998</v>
      </c>
      <c r="D18" s="6">
        <v>22.08</v>
      </c>
      <c r="E18" s="8" t="s">
        <v>24</v>
      </c>
      <c r="F18" s="7">
        <v>19.5</v>
      </c>
      <c r="G18" s="6">
        <v>6.5</v>
      </c>
      <c r="H18" s="9">
        <v>3.25</v>
      </c>
      <c r="I18" s="8" t="s">
        <v>20</v>
      </c>
      <c r="L18" s="6" t="str">
        <f t="shared" si="2"/>
        <v xml:space="preserve">DC  4.75in x 2.5in  - 44 # </v>
      </c>
      <c r="M18" s="6">
        <v>4.75</v>
      </c>
      <c r="N18" s="6">
        <v>2.5</v>
      </c>
      <c r="O18" s="15">
        <v>44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3">
      <c r="A19" s="6" t="str">
        <f t="shared" si="0"/>
        <v>DP 5in x 4in  - 25.6 # 5 FH Grade G</v>
      </c>
      <c r="B19" s="6">
        <v>5</v>
      </c>
      <c r="C19" s="6">
        <v>4</v>
      </c>
      <c r="D19" s="8">
        <v>29.01</v>
      </c>
      <c r="E19" s="8" t="s">
        <v>27</v>
      </c>
      <c r="F19" s="7">
        <v>25.6</v>
      </c>
      <c r="G19" s="6">
        <v>7.25</v>
      </c>
      <c r="H19" s="9">
        <v>3.5</v>
      </c>
      <c r="I19" s="8" t="s">
        <v>17</v>
      </c>
      <c r="J19">
        <f>3/8</f>
        <v>0.375</v>
      </c>
      <c r="L19" s="6" t="str">
        <f t="shared" si="2"/>
        <v xml:space="preserve">DC  4.75in x 2in  - 50 # </v>
      </c>
      <c r="M19" s="6">
        <v>4.75</v>
      </c>
      <c r="N19" s="6">
        <v>2</v>
      </c>
      <c r="O19" s="15">
        <v>50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3">
      <c r="A20" s="6" t="str">
        <f t="shared" si="0"/>
        <v>DP 5in x 4in  - 25.6 # NC50(XH) Grade G</v>
      </c>
      <c r="B20" s="6">
        <v>5</v>
      </c>
      <c r="C20" s="6">
        <v>4</v>
      </c>
      <c r="D20" s="8">
        <v>28.32</v>
      </c>
      <c r="E20" s="8" t="s">
        <v>26</v>
      </c>
      <c r="F20" s="7">
        <v>25.6</v>
      </c>
      <c r="G20" s="6">
        <v>6.625</v>
      </c>
      <c r="H20" s="9">
        <v>2.75</v>
      </c>
      <c r="I20" s="8" t="s">
        <v>17</v>
      </c>
      <c r="L20" s="6" t="str">
        <f t="shared" si="2"/>
        <v xml:space="preserve">DC  6.5in x 1.5in  - 107 # </v>
      </c>
      <c r="M20" s="6">
        <v>6.5</v>
      </c>
      <c r="N20" s="6">
        <v>1.5</v>
      </c>
      <c r="O20" s="15">
        <v>107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x14ac:dyDescent="0.3">
      <c r="A21" s="6" t="str">
        <f t="shared" si="0"/>
        <v>DP 5in x 4in  - 25.6 # FH Grade S</v>
      </c>
      <c r="B21" s="6">
        <v>5</v>
      </c>
      <c r="C21" s="6">
        <v>4</v>
      </c>
      <c r="D21" s="7">
        <v>29.35</v>
      </c>
      <c r="E21" s="8" t="s">
        <v>16</v>
      </c>
      <c r="F21" s="13">
        <v>25.6</v>
      </c>
      <c r="G21" s="6">
        <v>7.25</v>
      </c>
      <c r="H21" s="9">
        <v>3.25</v>
      </c>
      <c r="I21" s="8" t="s">
        <v>18</v>
      </c>
      <c r="L21" s="6" t="str">
        <f t="shared" si="2"/>
        <v xml:space="preserve">DC  6.5in x 1.75in  - 105 # </v>
      </c>
      <c r="M21" s="6">
        <v>6.5</v>
      </c>
      <c r="N21" s="6">
        <v>1.75</v>
      </c>
      <c r="O21" s="15">
        <v>105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x14ac:dyDescent="0.3">
      <c r="A22" s="6" t="str">
        <f t="shared" si="0"/>
        <v>DP 5in x 4in  - 25.6 # 5 FH Grade X</v>
      </c>
      <c r="B22" s="6">
        <v>5</v>
      </c>
      <c r="C22" s="6">
        <v>4</v>
      </c>
      <c r="D22" s="6">
        <v>28.45</v>
      </c>
      <c r="E22" s="8" t="s">
        <v>27</v>
      </c>
      <c r="F22" s="7">
        <v>25.6</v>
      </c>
      <c r="G22" s="6">
        <v>7</v>
      </c>
      <c r="H22" s="9">
        <v>3.5</v>
      </c>
      <c r="I22" s="8" t="s">
        <v>20</v>
      </c>
      <c r="L22" s="6" t="str">
        <f t="shared" si="2"/>
        <v xml:space="preserve">DC  6.5in x 2.25in  - 99 # </v>
      </c>
      <c r="M22" s="6">
        <v>6.5</v>
      </c>
      <c r="N22" s="6">
        <v>2.25</v>
      </c>
      <c r="O22" s="15">
        <v>99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3">
      <c r="A23" s="6" t="str">
        <f t="shared" si="0"/>
        <v>DP 5in x 4in  - 25.6 # NC50(XH) Grade X</v>
      </c>
      <c r="B23" s="6">
        <v>5</v>
      </c>
      <c r="C23" s="6">
        <v>4</v>
      </c>
      <c r="D23" s="6">
        <v>27.86</v>
      </c>
      <c r="E23" s="8" t="s">
        <v>26</v>
      </c>
      <c r="F23" s="7">
        <v>25.6</v>
      </c>
      <c r="G23" s="6">
        <v>6.5</v>
      </c>
      <c r="H23" s="9">
        <v>3</v>
      </c>
      <c r="I23" s="8" t="s">
        <v>20</v>
      </c>
      <c r="L23" s="6" t="str">
        <f t="shared" si="2"/>
        <v xml:space="preserve">DC  6.5in x 2.5in  - 96 # </v>
      </c>
      <c r="M23" s="6">
        <v>6.5</v>
      </c>
      <c r="N23" s="6">
        <v>2.5</v>
      </c>
      <c r="O23" s="15">
        <v>96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x14ac:dyDescent="0.3">
      <c r="A24" s="6" t="str">
        <f t="shared" si="0"/>
        <v>DP 4.5in x 3.826in  - 16.6 # FH Grade G</v>
      </c>
      <c r="B24" s="6">
        <v>4.5</v>
      </c>
      <c r="C24" s="6">
        <v>3.8260000000000001</v>
      </c>
      <c r="D24" s="7">
        <v>18.62</v>
      </c>
      <c r="E24" s="8" t="s">
        <v>16</v>
      </c>
      <c r="F24" s="7">
        <v>16.600000000000001</v>
      </c>
      <c r="G24" s="6">
        <v>6</v>
      </c>
      <c r="H24" s="9">
        <v>3</v>
      </c>
      <c r="I24" s="8" t="s">
        <v>17</v>
      </c>
      <c r="L24" s="6" t="str">
        <f t="shared" si="2"/>
        <v xml:space="preserve">DC  6.5in x 2.813in  - 92 # </v>
      </c>
      <c r="M24" s="6">
        <v>6.5</v>
      </c>
      <c r="N24" s="6">
        <v>2.8130000000000002</v>
      </c>
      <c r="O24" s="15">
        <v>92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x14ac:dyDescent="0.3">
      <c r="A25" s="6" t="str">
        <f t="shared" si="0"/>
        <v>DP 4.5in x 3.826in  - 16.6 # H90 Grade G</v>
      </c>
      <c r="B25" s="6">
        <v>4.5</v>
      </c>
      <c r="C25" s="6">
        <v>3.8260000000000001</v>
      </c>
      <c r="D25" s="7">
        <v>18.39</v>
      </c>
      <c r="E25" s="8" t="s">
        <v>24</v>
      </c>
      <c r="F25" s="7">
        <v>16.600000000000001</v>
      </c>
      <c r="G25" s="6">
        <v>6</v>
      </c>
      <c r="H25" s="9">
        <v>3</v>
      </c>
      <c r="I25" s="8" t="s">
        <v>17</v>
      </c>
      <c r="L25" s="6" t="str">
        <f t="shared" si="2"/>
        <v xml:space="preserve">DC  6.5in x 2in  - 102 # </v>
      </c>
      <c r="M25" s="6">
        <v>6.5</v>
      </c>
      <c r="N25" s="6">
        <v>2</v>
      </c>
      <c r="O25" s="15">
        <v>102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x14ac:dyDescent="0.3">
      <c r="A26" s="6" t="str">
        <f t="shared" si="0"/>
        <v>DP 4.5in x 3.826in  - 16.6 # NC50(XH) Grade G</v>
      </c>
      <c r="B26" s="6">
        <v>4.5</v>
      </c>
      <c r="C26" s="6">
        <v>3.8260000000000001</v>
      </c>
      <c r="D26" s="7">
        <v>18.34</v>
      </c>
      <c r="E26" s="8" t="s">
        <v>26</v>
      </c>
      <c r="F26" s="7">
        <v>16.600000000000001</v>
      </c>
      <c r="G26" s="6">
        <v>6.375</v>
      </c>
      <c r="H26" s="9">
        <v>3.75</v>
      </c>
      <c r="I26" s="8" t="s">
        <v>17</v>
      </c>
      <c r="L26" s="6" t="str">
        <f t="shared" si="2"/>
        <v xml:space="preserve">DC  6.5in x 3.25in  - 85 # </v>
      </c>
      <c r="M26" s="6">
        <v>6.5</v>
      </c>
      <c r="N26" s="6">
        <v>3.25</v>
      </c>
      <c r="O26" s="15">
        <v>85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x14ac:dyDescent="0.3">
      <c r="A27" s="6" t="str">
        <f t="shared" si="0"/>
        <v>DP 4.5in x 3.826in  - 16.6 # NC46(XH) Grade G</v>
      </c>
      <c r="B27" s="6">
        <v>4.5</v>
      </c>
      <c r="C27" s="6">
        <v>3.8260000000000001</v>
      </c>
      <c r="D27" s="7">
        <v>18.88</v>
      </c>
      <c r="E27" s="8" t="s">
        <v>28</v>
      </c>
      <c r="F27" s="7">
        <v>16.600000000000001</v>
      </c>
      <c r="G27" s="6">
        <v>6.25</v>
      </c>
      <c r="H27" s="9">
        <v>3</v>
      </c>
      <c r="I27" s="8" t="s">
        <v>17</v>
      </c>
      <c r="L27" s="6" t="str">
        <f t="shared" si="2"/>
        <v xml:space="preserve">DC  6.5in x 3in  - 88 # </v>
      </c>
      <c r="M27" s="6">
        <v>6.5</v>
      </c>
      <c r="N27" s="6">
        <v>3</v>
      </c>
      <c r="O27" s="15">
        <v>88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x14ac:dyDescent="0.3">
      <c r="A28" s="6" t="str">
        <f t="shared" si="0"/>
        <v>DP 4.5in x 3.826in  - 16.6 # FH Grade S</v>
      </c>
      <c r="B28" s="6">
        <v>4.5</v>
      </c>
      <c r="C28" s="6">
        <v>3.8260000000000001</v>
      </c>
      <c r="D28" s="7">
        <v>19.28</v>
      </c>
      <c r="E28" s="8" t="s">
        <v>16</v>
      </c>
      <c r="F28" s="13">
        <v>16.600000000000001</v>
      </c>
      <c r="G28" s="6">
        <v>6.25</v>
      </c>
      <c r="H28" s="9">
        <v>2.5</v>
      </c>
      <c r="I28" s="8" t="s">
        <v>18</v>
      </c>
      <c r="L28" s="6" t="str">
        <f t="shared" si="2"/>
        <v xml:space="preserve">DC  6.75in x 1.5in  - 116 # </v>
      </c>
      <c r="M28" s="6">
        <v>6.75</v>
      </c>
      <c r="N28" s="6">
        <v>1.5</v>
      </c>
      <c r="O28" s="15">
        <v>116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x14ac:dyDescent="0.3">
      <c r="A29" s="6" t="str">
        <f t="shared" si="0"/>
        <v>DP 4.5in x 3.826in  - 16.6 # H90 Grade S</v>
      </c>
      <c r="B29" s="6">
        <v>4.5</v>
      </c>
      <c r="C29" s="6">
        <v>3.8260000000000001</v>
      </c>
      <c r="D29" s="7">
        <v>18.420000000000002</v>
      </c>
      <c r="E29" s="8" t="s">
        <v>24</v>
      </c>
      <c r="F29" s="13">
        <v>16.600000000000001</v>
      </c>
      <c r="G29" s="6">
        <v>6</v>
      </c>
      <c r="H29" s="9">
        <v>3</v>
      </c>
      <c r="I29" s="8" t="s">
        <v>18</v>
      </c>
      <c r="L29" s="6" t="str">
        <f t="shared" si="2"/>
        <v xml:space="preserve">DC  6.75in x 1.75in  - 114 # </v>
      </c>
      <c r="M29" s="6">
        <v>6.75</v>
      </c>
      <c r="N29" s="6">
        <v>1.75</v>
      </c>
      <c r="O29" s="15">
        <v>114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x14ac:dyDescent="0.3">
      <c r="A30" s="6" t="str">
        <f t="shared" si="0"/>
        <v>DP 4.5in x 3.826in  - 16.6 # NC50(IF) Grade S</v>
      </c>
      <c r="B30" s="6">
        <v>4.5</v>
      </c>
      <c r="C30" s="6">
        <v>3.8260000000000001</v>
      </c>
      <c r="D30" s="7">
        <v>18.61</v>
      </c>
      <c r="E30" s="8" t="s">
        <v>29</v>
      </c>
      <c r="F30" s="13">
        <v>16.600000000000001</v>
      </c>
      <c r="G30" s="6">
        <v>6.375</v>
      </c>
      <c r="H30" s="9">
        <v>3.5</v>
      </c>
      <c r="I30" s="8" t="s">
        <v>18</v>
      </c>
      <c r="L30" s="6" t="str">
        <f t="shared" si="2"/>
        <v xml:space="preserve">DC  6.75in x 2.25in  - 108 # </v>
      </c>
      <c r="M30" s="6">
        <v>6.75</v>
      </c>
      <c r="N30" s="6">
        <v>2.25</v>
      </c>
      <c r="O30" s="15">
        <v>108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x14ac:dyDescent="0.3">
      <c r="A31" s="6" t="str">
        <f t="shared" si="0"/>
        <v>DP 4.5in x 3.826in  - 16.6 # NC46(XH) Grade S</v>
      </c>
      <c r="B31" s="6">
        <v>4.5</v>
      </c>
      <c r="C31" s="6">
        <v>3.8260000000000001</v>
      </c>
      <c r="D31" s="7">
        <v>19.09</v>
      </c>
      <c r="E31" s="8" t="s">
        <v>28</v>
      </c>
      <c r="F31" s="13">
        <v>16.600000000000001</v>
      </c>
      <c r="G31" s="6">
        <v>6.25</v>
      </c>
      <c r="H31" s="9">
        <v>2.75</v>
      </c>
      <c r="I31" s="8" t="s">
        <v>18</v>
      </c>
      <c r="L31" s="6" t="str">
        <f t="shared" si="2"/>
        <v xml:space="preserve">DC  6.75in x 2.5in  - 105 # </v>
      </c>
      <c r="M31" s="6">
        <v>6.75</v>
      </c>
      <c r="N31" s="6">
        <v>2.5</v>
      </c>
      <c r="O31" s="15">
        <v>105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x14ac:dyDescent="0.3">
      <c r="A32" s="6" t="str">
        <f t="shared" si="0"/>
        <v>DP 4.5in x 3.826in  - 16.6 # FH Grade X</v>
      </c>
      <c r="B32" s="6">
        <v>4.5</v>
      </c>
      <c r="C32" s="6">
        <v>3.8260000000000001</v>
      </c>
      <c r="D32" s="6">
        <v>18.62</v>
      </c>
      <c r="E32" s="8" t="s">
        <v>16</v>
      </c>
      <c r="F32" s="7">
        <v>16.600000000000001</v>
      </c>
      <c r="G32" s="6">
        <v>6</v>
      </c>
      <c r="H32" s="9">
        <v>3</v>
      </c>
      <c r="I32" s="8" t="s">
        <v>20</v>
      </c>
      <c r="L32" s="6" t="str">
        <f t="shared" si="2"/>
        <v xml:space="preserve">DC  6.75in x 2.813in  - 101 # </v>
      </c>
      <c r="M32" s="6">
        <v>6.75</v>
      </c>
      <c r="N32" s="6">
        <v>2.8130000000000002</v>
      </c>
      <c r="O32" s="15">
        <v>101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x14ac:dyDescent="0.3">
      <c r="A33" s="6" t="str">
        <f t="shared" si="0"/>
        <v>DP 4.5in x 3.826in  - 16.6 # H90 Grade X</v>
      </c>
      <c r="B33" s="6">
        <v>4.5</v>
      </c>
      <c r="C33" s="6">
        <v>3.8260000000000001</v>
      </c>
      <c r="D33" s="6">
        <v>18.39</v>
      </c>
      <c r="E33" s="8" t="s">
        <v>24</v>
      </c>
      <c r="F33" s="7">
        <v>16.600000000000001</v>
      </c>
      <c r="G33" s="6">
        <v>6</v>
      </c>
      <c r="H33" s="9">
        <v>3.25</v>
      </c>
      <c r="I33" s="8" t="s">
        <v>20</v>
      </c>
      <c r="L33" s="6" t="str">
        <f t="shared" si="2"/>
        <v xml:space="preserve">DC  6.75in x 2in  - 111 # </v>
      </c>
      <c r="M33" s="6">
        <v>6.75</v>
      </c>
      <c r="N33" s="6">
        <v>2</v>
      </c>
      <c r="O33" s="15">
        <v>111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x14ac:dyDescent="0.3">
      <c r="A34" s="6" t="str">
        <f t="shared" si="0"/>
        <v>DP 4.5in x 3.826in  - 16.6 # NC50(IF) Grade X</v>
      </c>
      <c r="B34" s="6">
        <v>4.5</v>
      </c>
      <c r="C34" s="6">
        <v>3.8260000000000001</v>
      </c>
      <c r="D34" s="6">
        <v>18.34</v>
      </c>
      <c r="E34" s="8" t="s">
        <v>29</v>
      </c>
      <c r="F34" s="7">
        <v>16.600000000000001</v>
      </c>
      <c r="G34" s="6">
        <v>6.375</v>
      </c>
      <c r="H34" s="9">
        <v>3.75</v>
      </c>
      <c r="I34" s="8" t="s">
        <v>20</v>
      </c>
      <c r="L34" s="6" t="str">
        <f t="shared" si="2"/>
        <v xml:space="preserve">DC  6.75in x 3.25in  - 94 # </v>
      </c>
      <c r="M34" s="6">
        <v>6.75</v>
      </c>
      <c r="N34" s="6">
        <v>3.25</v>
      </c>
      <c r="O34" s="15">
        <v>94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x14ac:dyDescent="0.3">
      <c r="A35" s="6" t="str">
        <f t="shared" si="0"/>
        <v>DP 4.5in x 3.826in  - 16.6 # NC46(XH) Grade X</v>
      </c>
      <c r="B35" s="6">
        <v>4.5</v>
      </c>
      <c r="C35" s="6">
        <v>3.8260000000000001</v>
      </c>
      <c r="D35" s="6">
        <v>18.88</v>
      </c>
      <c r="E35" s="8" t="s">
        <v>28</v>
      </c>
      <c r="F35" s="7">
        <v>16.600000000000001</v>
      </c>
      <c r="G35" s="6">
        <v>6.25</v>
      </c>
      <c r="H35" s="9">
        <v>3</v>
      </c>
      <c r="I35" s="8" t="s">
        <v>20</v>
      </c>
      <c r="L35" s="6" t="str">
        <f t="shared" si="2"/>
        <v xml:space="preserve">DC  6.75in x 3in  - 98 # </v>
      </c>
      <c r="M35" s="6">
        <v>6.75</v>
      </c>
      <c r="N35" s="6">
        <v>3</v>
      </c>
      <c r="O35" s="15">
        <v>98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x14ac:dyDescent="0.3">
      <c r="A36" s="6" t="str">
        <f t="shared" si="0"/>
        <v>DP 4.5in x 3.826in  - 16.6 # H90 Grade X</v>
      </c>
      <c r="B36" s="6">
        <v>4.5</v>
      </c>
      <c r="C36" s="8">
        <v>3.8260000000000001</v>
      </c>
      <c r="D36" s="6">
        <v>18.38</v>
      </c>
      <c r="E36" s="8" t="s">
        <v>24</v>
      </c>
      <c r="F36" s="7">
        <v>16.600000000000001</v>
      </c>
      <c r="G36" s="6">
        <v>6</v>
      </c>
      <c r="H36" s="9">
        <v>3.25</v>
      </c>
      <c r="I36" s="8" t="s">
        <v>20</v>
      </c>
      <c r="L36" s="6" t="str">
        <f t="shared" si="2"/>
        <v xml:space="preserve">DC  8.5in x 2.813in  - 171.8 # </v>
      </c>
      <c r="M36" s="6">
        <v>8.5</v>
      </c>
      <c r="N36" s="6">
        <v>2.8130000000000002</v>
      </c>
      <c r="O36" s="15">
        <v>171.8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x14ac:dyDescent="0.3">
      <c r="A37" s="6" t="str">
        <f t="shared" si="0"/>
        <v>DP 4.5in x 3.826in  - 16.6 # NC50(IF) Grade X</v>
      </c>
      <c r="B37" s="6">
        <v>4.5</v>
      </c>
      <c r="C37" s="8">
        <v>3.8260000000000001</v>
      </c>
      <c r="D37" s="6">
        <v>18.34</v>
      </c>
      <c r="E37" s="8" t="s">
        <v>29</v>
      </c>
      <c r="F37" s="7">
        <v>16.600000000000001</v>
      </c>
      <c r="G37" s="6">
        <v>6.375</v>
      </c>
      <c r="H37" s="9">
        <v>3.75</v>
      </c>
      <c r="I37" s="8" t="s">
        <v>20</v>
      </c>
      <c r="L37" s="6" t="str">
        <f t="shared" si="2"/>
        <v xml:space="preserve">DC  8.25in x 1.5in  - 176 # </v>
      </c>
      <c r="M37" s="6">
        <v>8.25</v>
      </c>
      <c r="N37" s="6">
        <v>1.5</v>
      </c>
      <c r="O37" s="15">
        <v>176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x14ac:dyDescent="0.3">
      <c r="A38" s="6" t="str">
        <f t="shared" si="0"/>
        <v>DP 4.5in x 3.826in  - 16.6 # NC46(XH) Grade X</v>
      </c>
      <c r="B38" s="6">
        <v>4.5</v>
      </c>
      <c r="C38" s="8">
        <v>3.8260000000000001</v>
      </c>
      <c r="D38" s="6">
        <v>18.88</v>
      </c>
      <c r="E38" s="8" t="s">
        <v>28</v>
      </c>
      <c r="F38" s="7">
        <v>16.600000000000001</v>
      </c>
      <c r="G38" s="6">
        <v>6.25</v>
      </c>
      <c r="H38" s="9">
        <v>3</v>
      </c>
      <c r="I38" s="8" t="s">
        <v>20</v>
      </c>
      <c r="L38" s="6" t="str">
        <f t="shared" si="2"/>
        <v xml:space="preserve">DC  8.25in x 1.75in  - 174 # </v>
      </c>
      <c r="M38" s="6">
        <v>8.25</v>
      </c>
      <c r="N38" s="6">
        <v>1.75</v>
      </c>
      <c r="O38" s="15">
        <v>174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x14ac:dyDescent="0.3">
      <c r="A39" s="6" t="str">
        <f t="shared" si="0"/>
        <v>DP 4.5in x 3.64in  - 20 # NC50(IF) Grade G</v>
      </c>
      <c r="B39" s="6">
        <v>4.5</v>
      </c>
      <c r="C39" s="6">
        <v>3.64</v>
      </c>
      <c r="D39" s="7">
        <v>22.13</v>
      </c>
      <c r="E39" s="8" t="s">
        <v>29</v>
      </c>
      <c r="F39" s="7">
        <v>20</v>
      </c>
      <c r="G39" s="6">
        <v>6.375</v>
      </c>
      <c r="H39" s="9">
        <v>3.5</v>
      </c>
      <c r="I39" s="8" t="s">
        <v>17</v>
      </c>
      <c r="L39" s="6" t="str">
        <f t="shared" si="2"/>
        <v xml:space="preserve">DC  8.25in x 2.25in  - 168 # </v>
      </c>
      <c r="M39" s="6">
        <v>8.25</v>
      </c>
      <c r="N39" s="6">
        <v>2.25</v>
      </c>
      <c r="O39" s="15">
        <v>168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x14ac:dyDescent="0.3">
      <c r="A40" s="6" t="str">
        <f t="shared" si="0"/>
        <v>DP 4.5in x 3.64in  - 20 # NC46(XH) Grade G</v>
      </c>
      <c r="B40" s="6">
        <v>4.5</v>
      </c>
      <c r="C40" s="6">
        <v>3.64</v>
      </c>
      <c r="D40" s="7">
        <v>22.75</v>
      </c>
      <c r="E40" s="8" t="s">
        <v>28</v>
      </c>
      <c r="F40" s="7">
        <v>20</v>
      </c>
      <c r="G40" s="6">
        <v>6.25</v>
      </c>
      <c r="H40" s="9">
        <v>2.5</v>
      </c>
      <c r="I40" s="8" t="s">
        <v>17</v>
      </c>
      <c r="L40" s="6" t="str">
        <f t="shared" si="2"/>
        <v xml:space="preserve">DC  8.25in x 2.5in  - 165 # </v>
      </c>
      <c r="M40" s="6">
        <v>8.25</v>
      </c>
      <c r="N40" s="6">
        <v>2.5</v>
      </c>
      <c r="O40" s="15">
        <v>165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x14ac:dyDescent="0.3">
      <c r="A41" s="6" t="str">
        <f t="shared" si="0"/>
        <v>DP 4.5in x 3.64in  - 20 # NC50(IF) Grade S</v>
      </c>
      <c r="B41" s="6">
        <v>4.5</v>
      </c>
      <c r="C41" s="6">
        <v>3.64</v>
      </c>
      <c r="D41" s="7">
        <v>23.22</v>
      </c>
      <c r="E41" s="8" t="s">
        <v>29</v>
      </c>
      <c r="F41" s="13">
        <v>20</v>
      </c>
      <c r="G41" s="6">
        <v>6.625</v>
      </c>
      <c r="H41" s="9">
        <v>3</v>
      </c>
      <c r="I41" s="8" t="s">
        <v>18</v>
      </c>
      <c r="L41" s="6" t="str">
        <f t="shared" si="2"/>
        <v xml:space="preserve">DC  8.25in x 2.8125in  - 161 # </v>
      </c>
      <c r="M41" s="6">
        <v>8.25</v>
      </c>
      <c r="N41" s="6">
        <v>2.8125</v>
      </c>
      <c r="O41" s="15">
        <v>161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x14ac:dyDescent="0.3">
      <c r="A42" s="6" t="str">
        <f t="shared" si="0"/>
        <v>DP 4.5in x 3.64in  - 20 # NC46(XH) Grade S</v>
      </c>
      <c r="B42" s="6">
        <v>4.5</v>
      </c>
      <c r="C42" s="6">
        <v>3.64</v>
      </c>
      <c r="D42" s="7">
        <v>23.22</v>
      </c>
      <c r="E42" s="8" t="s">
        <v>28</v>
      </c>
      <c r="F42" s="13">
        <v>20</v>
      </c>
      <c r="G42" s="6">
        <v>6.25</v>
      </c>
      <c r="H42" s="9">
        <v>2.25</v>
      </c>
      <c r="I42" s="8" t="s">
        <v>18</v>
      </c>
      <c r="L42" s="6" t="str">
        <f t="shared" si="2"/>
        <v xml:space="preserve">DC  8.25in x 2in  - 171 # </v>
      </c>
      <c r="M42" s="6">
        <v>8.25</v>
      </c>
      <c r="N42" s="6">
        <v>2</v>
      </c>
      <c r="O42" s="15">
        <v>171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x14ac:dyDescent="0.3">
      <c r="A43" s="6" t="str">
        <f t="shared" si="0"/>
        <v>DP 4.5in x 3.64in  - 20 # FH Grade X</v>
      </c>
      <c r="B43" s="6">
        <v>4.5</v>
      </c>
      <c r="C43" s="6">
        <v>3.64</v>
      </c>
      <c r="D43" s="6">
        <v>22.29</v>
      </c>
      <c r="E43" s="8" t="s">
        <v>16</v>
      </c>
      <c r="F43" s="7">
        <v>20</v>
      </c>
      <c r="G43" s="6">
        <v>6</v>
      </c>
      <c r="H43" s="9">
        <v>2.5</v>
      </c>
      <c r="I43" s="8" t="s">
        <v>20</v>
      </c>
      <c r="L43" s="6" t="str">
        <f t="shared" si="2"/>
        <v xml:space="preserve">DC  8.25in x 3.25in  - 154 # </v>
      </c>
      <c r="M43" s="6">
        <v>8.25</v>
      </c>
      <c r="N43" s="6">
        <v>3.25</v>
      </c>
      <c r="O43" s="15">
        <v>154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x14ac:dyDescent="0.3">
      <c r="A44" s="6" t="str">
        <f t="shared" si="0"/>
        <v>DP 4.5in x 3.64in  - 20 # H90 Grade X</v>
      </c>
      <c r="B44" s="6">
        <v>4.5</v>
      </c>
      <c r="C44" s="6">
        <v>3.64</v>
      </c>
      <c r="D44" s="6">
        <v>21.79</v>
      </c>
      <c r="E44" s="8" t="s">
        <v>24</v>
      </c>
      <c r="F44" s="7">
        <v>20</v>
      </c>
      <c r="G44" s="6">
        <v>6</v>
      </c>
      <c r="H44" s="9">
        <v>3.25</v>
      </c>
      <c r="I44" s="8" t="s">
        <v>20</v>
      </c>
      <c r="L44" s="6" t="str">
        <f t="shared" si="2"/>
        <v xml:space="preserve">DC  8.25in x 3in  - 158 # </v>
      </c>
      <c r="M44" s="6">
        <v>8.25</v>
      </c>
      <c r="N44" s="6">
        <v>3</v>
      </c>
      <c r="O44" s="15">
        <v>158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x14ac:dyDescent="0.3">
      <c r="A45" s="6" t="str">
        <f t="shared" si="0"/>
        <v>DP 4.5in x 3.64in  - 20 # FH Grade X</v>
      </c>
      <c r="B45" s="6">
        <v>4.5</v>
      </c>
      <c r="C45" s="6">
        <v>3.64</v>
      </c>
      <c r="D45" s="6">
        <v>22.29</v>
      </c>
      <c r="E45" s="8" t="s">
        <v>16</v>
      </c>
      <c r="F45" s="7">
        <v>20</v>
      </c>
      <c r="G45" s="6">
        <v>6</v>
      </c>
      <c r="H45" s="9">
        <v>2.5</v>
      </c>
      <c r="I45" s="8" t="s">
        <v>20</v>
      </c>
      <c r="L45" s="6" t="str">
        <f t="shared" si="2"/>
        <v xml:space="preserve">DC  8in x 1.5in  - 165 # </v>
      </c>
      <c r="M45" s="6">
        <v>8</v>
      </c>
      <c r="N45" s="6">
        <v>1.5</v>
      </c>
      <c r="O45" s="15">
        <v>165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x14ac:dyDescent="0.3">
      <c r="A46" s="6" t="str">
        <f t="shared" si="0"/>
        <v>DP 4.5in x 3.64in  - 20 # H90 Grade X</v>
      </c>
      <c r="B46" s="6">
        <v>4.5</v>
      </c>
      <c r="C46" s="6">
        <v>3.64</v>
      </c>
      <c r="D46" s="6">
        <v>21.73</v>
      </c>
      <c r="E46" s="8" t="s">
        <v>24</v>
      </c>
      <c r="F46" s="7">
        <v>20</v>
      </c>
      <c r="G46" s="6">
        <v>6</v>
      </c>
      <c r="H46" s="9">
        <v>3.25</v>
      </c>
      <c r="I46" s="8" t="s">
        <v>20</v>
      </c>
      <c r="L46" s="6" t="str">
        <f t="shared" si="2"/>
        <v xml:space="preserve">DC  8in x 1.75in  - 163 # </v>
      </c>
      <c r="M46" s="6">
        <v>8</v>
      </c>
      <c r="N46" s="6">
        <v>1.75</v>
      </c>
      <c r="O46" s="15">
        <v>163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x14ac:dyDescent="0.3">
      <c r="A47" s="6" t="str">
        <f t="shared" si="0"/>
        <v>DP 4.5in x 3.64in  - 20 # NC50(IF) Grade X</v>
      </c>
      <c r="B47" s="6">
        <v>4.5</v>
      </c>
      <c r="C47" s="6">
        <v>3.64</v>
      </c>
      <c r="D47" s="6">
        <v>22.13</v>
      </c>
      <c r="E47" s="8" t="s">
        <v>29</v>
      </c>
      <c r="F47" s="7">
        <v>20</v>
      </c>
      <c r="G47" s="6">
        <v>6.375</v>
      </c>
      <c r="H47" s="9">
        <v>3.5</v>
      </c>
      <c r="I47" s="8" t="s">
        <v>20</v>
      </c>
      <c r="L47" s="6" t="str">
        <f t="shared" si="2"/>
        <v xml:space="preserve">DC  8in x 2.25in  - 157 # </v>
      </c>
      <c r="M47" s="6">
        <v>8</v>
      </c>
      <c r="N47" s="6">
        <v>2.25</v>
      </c>
      <c r="O47" s="15">
        <v>157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x14ac:dyDescent="0.3">
      <c r="A48" s="6" t="str">
        <f t="shared" si="0"/>
        <v>DP 4.5in x 3.64in  - 20 # NC46(XH) Grade X</v>
      </c>
      <c r="B48" s="6">
        <v>4.5</v>
      </c>
      <c r="C48" s="6">
        <v>3.64</v>
      </c>
      <c r="D48" s="6">
        <v>22.56</v>
      </c>
      <c r="E48" s="8" t="s">
        <v>28</v>
      </c>
      <c r="F48" s="7">
        <v>20</v>
      </c>
      <c r="G48" s="6">
        <v>6.25</v>
      </c>
      <c r="H48" s="9">
        <v>2.75</v>
      </c>
      <c r="I48" s="8" t="s">
        <v>20</v>
      </c>
      <c r="L48" s="6" t="str">
        <f t="shared" si="2"/>
        <v xml:space="preserve">DC  8in x 2.5in  - 154 # </v>
      </c>
      <c r="M48" s="6">
        <v>8</v>
      </c>
      <c r="N48" s="6">
        <v>2.5</v>
      </c>
      <c r="O48" s="15">
        <v>154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x14ac:dyDescent="0.3">
      <c r="A49" s="6" t="str">
        <f t="shared" si="0"/>
        <v>DP 4in x 3.34in  - 14 # NC40(FH) Grade G</v>
      </c>
      <c r="B49" s="6">
        <v>4</v>
      </c>
      <c r="C49" s="6">
        <v>3.34</v>
      </c>
      <c r="D49" s="7">
        <v>15.9</v>
      </c>
      <c r="E49" s="8" t="s">
        <v>30</v>
      </c>
      <c r="F49" s="7">
        <v>14</v>
      </c>
      <c r="G49" s="6">
        <v>5.5</v>
      </c>
      <c r="H49" s="9">
        <v>2.4375</v>
      </c>
      <c r="I49" s="8" t="s">
        <v>17</v>
      </c>
      <c r="L49" s="6" t="str">
        <f t="shared" si="2"/>
        <v xml:space="preserve">DC  8in x 2.81in  - 150 # </v>
      </c>
      <c r="M49" s="6">
        <v>8</v>
      </c>
      <c r="N49" s="6">
        <v>2.81</v>
      </c>
      <c r="O49" s="15">
        <v>150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x14ac:dyDescent="0.3">
      <c r="A50" s="6" t="str">
        <f t="shared" si="0"/>
        <v>DP 4in x 3.34in  - 14 # H90 Grade G</v>
      </c>
      <c r="B50" s="6">
        <v>4</v>
      </c>
      <c r="C50" s="6">
        <v>3.34</v>
      </c>
      <c r="D50" s="7">
        <v>15.55</v>
      </c>
      <c r="E50" s="8" t="s">
        <v>24</v>
      </c>
      <c r="F50" s="7">
        <v>14</v>
      </c>
      <c r="G50" s="6">
        <v>5.5</v>
      </c>
      <c r="H50" s="9">
        <v>2.8125</v>
      </c>
      <c r="I50" s="8" t="s">
        <v>17</v>
      </c>
      <c r="J50" s="16"/>
      <c r="K50" s="16"/>
      <c r="L50" s="6" t="str">
        <f t="shared" si="2"/>
        <v xml:space="preserve">DC  8in x 2in  - 160 # </v>
      </c>
      <c r="M50" s="6">
        <v>8</v>
      </c>
      <c r="N50" s="6">
        <v>2</v>
      </c>
      <c r="O50" s="15">
        <v>160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x14ac:dyDescent="0.3">
      <c r="A51" s="6" t="str">
        <f t="shared" si="0"/>
        <v>DP 4in x 3.34in  - 14 # ST39 Grade S</v>
      </c>
      <c r="B51" s="6">
        <v>4</v>
      </c>
      <c r="C51" s="6">
        <v>3.34</v>
      </c>
      <c r="D51" s="7">
        <v>15.55</v>
      </c>
      <c r="E51" s="8" t="s">
        <v>31</v>
      </c>
      <c r="F51" s="7">
        <v>14</v>
      </c>
      <c r="G51" s="6">
        <v>5.5</v>
      </c>
      <c r="H51" s="9">
        <v>2.8125</v>
      </c>
      <c r="I51" s="8" t="s">
        <v>18</v>
      </c>
      <c r="L51" s="6" t="str">
        <f t="shared" si="2"/>
        <v xml:space="preserve">DC  8in x 3.25in  - 143 # </v>
      </c>
      <c r="M51" s="6">
        <v>8</v>
      </c>
      <c r="N51" s="6">
        <v>3.25</v>
      </c>
      <c r="O51" s="15">
        <v>143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x14ac:dyDescent="0.3">
      <c r="A52" s="6" t="str">
        <f t="shared" si="0"/>
        <v>DP 4in x 3.34in  - 14 # NC46(IF) Grade G</v>
      </c>
      <c r="B52" s="6">
        <v>4</v>
      </c>
      <c r="C52" s="6">
        <v>3.34</v>
      </c>
      <c r="D52" s="7">
        <v>16.14</v>
      </c>
      <c r="E52" s="8" t="s">
        <v>32</v>
      </c>
      <c r="F52" s="7">
        <v>14</v>
      </c>
      <c r="G52" s="6">
        <v>6</v>
      </c>
      <c r="H52" s="9">
        <v>3.25</v>
      </c>
      <c r="I52" s="8" t="s">
        <v>17</v>
      </c>
      <c r="L52" s="6" t="str">
        <f t="shared" si="2"/>
        <v xml:space="preserve">DC  8in x 3in  - 147 # </v>
      </c>
      <c r="M52" s="6">
        <v>8</v>
      </c>
      <c r="N52" s="6">
        <v>3</v>
      </c>
      <c r="O52" s="15">
        <v>147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x14ac:dyDescent="0.3">
      <c r="A53" s="6" t="str">
        <f t="shared" si="0"/>
        <v>DP 4in x 3.34in  - 14 # NC46(IF) Grade S</v>
      </c>
      <c r="B53" s="6">
        <v>4</v>
      </c>
      <c r="C53" s="6">
        <v>3.34</v>
      </c>
      <c r="D53" s="7">
        <v>16.38</v>
      </c>
      <c r="E53" s="8" t="s">
        <v>32</v>
      </c>
      <c r="F53" s="13">
        <v>14</v>
      </c>
      <c r="G53" s="6">
        <v>6</v>
      </c>
      <c r="H53" s="9">
        <v>3</v>
      </c>
      <c r="I53" s="8" t="s">
        <v>18</v>
      </c>
      <c r="L53" s="6" t="str">
        <f t="shared" ref="L53:L61" si="3">CONCATENATE("DC  ",M53,"in x ",N53,"in  - ",O53, " # ", P45)</f>
        <v xml:space="preserve">DC  9.5in x 1.75in  - 233 # </v>
      </c>
      <c r="M53" s="6">
        <v>9.5</v>
      </c>
      <c r="N53" s="6">
        <v>1.75</v>
      </c>
      <c r="O53" s="15">
        <v>233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x14ac:dyDescent="0.3">
      <c r="A54" s="6" t="str">
        <f t="shared" si="0"/>
        <v>DP 4in x 3.34in  - 14 # NC40(FH) Grade X</v>
      </c>
      <c r="B54" s="6">
        <v>4</v>
      </c>
      <c r="C54" s="6">
        <v>3.34</v>
      </c>
      <c r="D54" s="6">
        <v>15.3</v>
      </c>
      <c r="E54" s="8" t="s">
        <v>30</v>
      </c>
      <c r="F54" s="7">
        <v>14</v>
      </c>
      <c r="G54" s="6">
        <v>5.25</v>
      </c>
      <c r="H54" s="9">
        <v>2.6875</v>
      </c>
      <c r="I54" s="8" t="s">
        <v>20</v>
      </c>
      <c r="L54" s="6" t="str">
        <f t="shared" si="3"/>
        <v xml:space="preserve">DC  9.5in x 2.25in  - 228 # </v>
      </c>
      <c r="M54" s="6">
        <v>9.5</v>
      </c>
      <c r="N54" s="6">
        <v>2.25</v>
      </c>
      <c r="O54" s="15">
        <v>228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x14ac:dyDescent="0.3">
      <c r="A55" s="6" t="str">
        <f t="shared" si="0"/>
        <v>DP 4in x 3.34in  - 14 # H90 Grade X</v>
      </c>
      <c r="B55" s="6">
        <v>4</v>
      </c>
      <c r="C55" s="6">
        <v>3.34</v>
      </c>
      <c r="D55" s="6">
        <v>15.55</v>
      </c>
      <c r="E55" s="8" t="s">
        <v>24</v>
      </c>
      <c r="F55" s="7">
        <v>14</v>
      </c>
      <c r="G55" s="6">
        <v>5.5</v>
      </c>
      <c r="H55" s="9">
        <v>2.8125</v>
      </c>
      <c r="I55" s="8" t="s">
        <v>20</v>
      </c>
      <c r="L55" s="6" t="str">
        <f t="shared" si="3"/>
        <v xml:space="preserve">DC  9.5in x 2.5in  - 224 # </v>
      </c>
      <c r="M55" s="6">
        <v>9.5</v>
      </c>
      <c r="N55" s="6">
        <v>2.5</v>
      </c>
      <c r="O55" s="15">
        <v>224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x14ac:dyDescent="0.3">
      <c r="A56" s="6" t="str">
        <f t="shared" si="0"/>
        <v>DP 4in x 3.24in  - 15.7 # H90 Grade G</v>
      </c>
      <c r="B56" s="6">
        <v>4</v>
      </c>
      <c r="C56" s="6">
        <v>3.24</v>
      </c>
      <c r="D56" s="7">
        <v>17.170000000000002</v>
      </c>
      <c r="E56" s="8" t="s">
        <v>24</v>
      </c>
      <c r="F56" s="7">
        <v>15.7</v>
      </c>
      <c r="G56" s="6">
        <v>5.5</v>
      </c>
      <c r="H56" s="9">
        <v>2.8125</v>
      </c>
      <c r="I56" s="8" t="s">
        <v>17</v>
      </c>
      <c r="L56" s="6" t="str">
        <f t="shared" si="3"/>
        <v xml:space="preserve">DC  9.5in x 2.81in  - 220 # </v>
      </c>
      <c r="M56" s="6">
        <v>9.5</v>
      </c>
      <c r="N56" s="6">
        <v>2.81</v>
      </c>
      <c r="O56" s="15">
        <v>220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x14ac:dyDescent="0.3">
      <c r="A57" s="6" t="str">
        <f t="shared" si="0"/>
        <v>DP 4in x 3.24in  - 15.7 # NC46(IF) Grade G</v>
      </c>
      <c r="B57" s="6">
        <v>4</v>
      </c>
      <c r="C57" s="6">
        <v>3.24</v>
      </c>
      <c r="D57" s="7">
        <v>17.75</v>
      </c>
      <c r="E57" s="8" t="s">
        <v>32</v>
      </c>
      <c r="F57" s="7">
        <v>15.7</v>
      </c>
      <c r="G57" s="6">
        <v>6</v>
      </c>
      <c r="H57" s="9">
        <v>3.25</v>
      </c>
      <c r="I57" s="8" t="s">
        <v>17</v>
      </c>
      <c r="L57" s="6" t="str">
        <f t="shared" si="3"/>
        <v xml:space="preserve">DC  9.5in x 2in  - 230 # </v>
      </c>
      <c r="M57" s="6">
        <v>9.5</v>
      </c>
      <c r="N57" s="6">
        <v>2</v>
      </c>
      <c r="O57" s="15">
        <v>230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x14ac:dyDescent="0.3">
      <c r="A58" s="6" t="str">
        <f t="shared" si="0"/>
        <v>DP 4in x 3.24in  - 15.7 #  Grade UNK</v>
      </c>
      <c r="B58" s="6">
        <v>4</v>
      </c>
      <c r="C58" s="6">
        <v>3.24</v>
      </c>
      <c r="D58" s="7">
        <v>17.510000000000002</v>
      </c>
      <c r="E58" s="8"/>
      <c r="F58" s="7">
        <v>15.7</v>
      </c>
      <c r="G58" s="6"/>
      <c r="H58" s="9"/>
      <c r="I58" s="8" t="s">
        <v>33</v>
      </c>
      <c r="L58" s="6" t="str">
        <f t="shared" si="3"/>
        <v xml:space="preserve">DC  9.5in x 3.25in  - 213 # </v>
      </c>
      <c r="M58" s="6">
        <v>9.5</v>
      </c>
      <c r="N58" s="6">
        <v>3.25</v>
      </c>
      <c r="O58" s="15">
        <v>213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x14ac:dyDescent="0.3">
      <c r="A59" s="6" t="str">
        <f t="shared" si="0"/>
        <v>DP 4in x 3.24in  - 15.7 # XT-39 Grade S</v>
      </c>
      <c r="B59" s="6">
        <v>4</v>
      </c>
      <c r="C59" s="6">
        <v>3.24</v>
      </c>
      <c r="D59" s="7">
        <v>17.59</v>
      </c>
      <c r="E59" s="8" t="s">
        <v>34</v>
      </c>
      <c r="F59" s="13">
        <v>15.7</v>
      </c>
      <c r="G59" s="6">
        <v>5</v>
      </c>
      <c r="H59" s="9">
        <v>2.5630000000000002</v>
      </c>
      <c r="I59" s="8" t="s">
        <v>18</v>
      </c>
      <c r="L59" s="6" t="str">
        <f t="shared" si="3"/>
        <v xml:space="preserve">DC  9.5in x 3.5in  - 208 # </v>
      </c>
      <c r="M59" s="6">
        <v>9.5</v>
      </c>
      <c r="N59" s="6">
        <v>3.5</v>
      </c>
      <c r="O59" s="15">
        <v>208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x14ac:dyDescent="0.3">
      <c r="A60" s="6" t="str">
        <f t="shared" si="0"/>
        <v>DP 4in x 3.24in  - 15.7 # 4" XT-39 Grade X</v>
      </c>
      <c r="B60" s="6">
        <v>4</v>
      </c>
      <c r="C60" s="6">
        <v>3.24</v>
      </c>
      <c r="D60" s="6">
        <v>17.59</v>
      </c>
      <c r="E60" s="8" t="s">
        <v>35</v>
      </c>
      <c r="F60" s="7">
        <v>15.7</v>
      </c>
      <c r="G60" s="6">
        <v>5</v>
      </c>
      <c r="H60" s="9">
        <v>2.5630000000000002</v>
      </c>
      <c r="I60" s="8" t="s">
        <v>20</v>
      </c>
      <c r="L60" s="6" t="str">
        <f t="shared" si="3"/>
        <v xml:space="preserve">DC  9.5in x 3.75in  - 203 # </v>
      </c>
      <c r="M60" s="6">
        <v>9.5</v>
      </c>
      <c r="N60" s="6">
        <v>3.75</v>
      </c>
      <c r="O60" s="15">
        <v>203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x14ac:dyDescent="0.3">
      <c r="A61" s="6" t="str">
        <f t="shared" si="0"/>
        <v>DP 4in x 3.24in  - 15.7 # NC40(FH) Grade X</v>
      </c>
      <c r="B61" s="6">
        <v>4</v>
      </c>
      <c r="C61" s="6">
        <v>3.24</v>
      </c>
      <c r="D61" s="6">
        <v>17.55</v>
      </c>
      <c r="E61" s="8" t="s">
        <v>30</v>
      </c>
      <c r="F61" s="7">
        <v>15.7</v>
      </c>
      <c r="G61" s="6">
        <v>5.5</v>
      </c>
      <c r="H61" s="9">
        <v>2.4375</v>
      </c>
      <c r="I61" s="8" t="s">
        <v>20</v>
      </c>
      <c r="L61" s="6" t="str">
        <f t="shared" si="3"/>
        <v xml:space="preserve">DC  9.5in x 3in  - 216.7 # </v>
      </c>
      <c r="M61" s="6">
        <v>9.5</v>
      </c>
      <c r="N61" s="6">
        <v>3</v>
      </c>
      <c r="O61" s="15">
        <v>216.7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x14ac:dyDescent="0.3">
      <c r="A62" s="6" t="str">
        <f t="shared" si="0"/>
        <v>DP 4in x 3.24in  - 15.7 # H90 Grade X</v>
      </c>
      <c r="B62" s="6">
        <v>4</v>
      </c>
      <c r="C62" s="6">
        <v>3.24</v>
      </c>
      <c r="D62" s="6">
        <v>17.170000000000002</v>
      </c>
      <c r="E62" s="8" t="s">
        <v>24</v>
      </c>
      <c r="F62" s="7">
        <v>15.7</v>
      </c>
      <c r="G62" s="6">
        <v>5.5</v>
      </c>
      <c r="H62" s="9">
        <v>2.8125</v>
      </c>
      <c r="I62" s="8" t="s">
        <v>20</v>
      </c>
      <c r="L62" s="6" t="str">
        <f>CONCATENATE("DC  Spiral ",M62,"in x ",N62,"in  - ",O62, " # ", P54)</f>
        <v xml:space="preserve">DC  Spiral 8.5in x 2.875in  - 170.193 # </v>
      </c>
      <c r="M62" s="6">
        <v>8.5</v>
      </c>
      <c r="N62" s="6">
        <v>2.875</v>
      </c>
      <c r="O62" s="15">
        <v>170.19300000000001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x14ac:dyDescent="0.3">
      <c r="A63" s="6" t="str">
        <f t="shared" si="0"/>
        <v>DP 4in x 3.24in  - 15.7 # NC46(IF) Grade X</v>
      </c>
      <c r="B63" s="6">
        <v>4</v>
      </c>
      <c r="C63" s="6">
        <v>3.24</v>
      </c>
      <c r="D63" s="6">
        <v>17.75</v>
      </c>
      <c r="E63" s="8" t="s">
        <v>32</v>
      </c>
      <c r="F63" s="7">
        <v>15.7</v>
      </c>
      <c r="G63" s="6">
        <v>6</v>
      </c>
      <c r="H63" s="9">
        <v>3.25</v>
      </c>
      <c r="I63" s="8" t="s">
        <v>20</v>
      </c>
      <c r="L63" s="10" t="s">
        <v>36</v>
      </c>
      <c r="M63" s="10">
        <f>VLOOKUP(L63,'[1]BHA Dims'!$A$1:$I$81,2,FALSE)</f>
        <v>4</v>
      </c>
      <c r="N63" s="10">
        <f>VLOOKUP(L63,'[1]BHA Dims'!$A$1:$I$81,3,FALSE)</f>
        <v>3.24</v>
      </c>
      <c r="O63" s="17">
        <v>15.66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x14ac:dyDescent="0.3">
      <c r="A64" s="6" t="str">
        <f t="shared" si="0"/>
        <v>DP 3.5in x 2.764in  - 13.3 # NC38(IF) Grade G</v>
      </c>
      <c r="B64" s="6">
        <v>3.5</v>
      </c>
      <c r="C64" s="6">
        <v>2.7639999999999998</v>
      </c>
      <c r="D64" s="7">
        <v>14.49</v>
      </c>
      <c r="E64" s="8" t="s">
        <v>37</v>
      </c>
      <c r="F64" s="7">
        <v>13.3</v>
      </c>
      <c r="G64" s="6">
        <v>5</v>
      </c>
      <c r="H64" s="9">
        <v>2.4375</v>
      </c>
      <c r="I64" s="8" t="s">
        <v>17</v>
      </c>
      <c r="L64" s="6" t="str">
        <f>CONCATENATE("DP ", M64,"in x ",N64,"in  - ",Q64, " # ", P64, " Grade ",T64)</f>
        <v xml:space="preserve">DP 5in x 4.276in  - 19.5 # NC50(XH) Grade </v>
      </c>
      <c r="M64" s="6">
        <v>5</v>
      </c>
      <c r="N64" s="6">
        <v>4.2759999999999998</v>
      </c>
      <c r="O64" s="8">
        <v>21.92</v>
      </c>
      <c r="P64" s="8" t="s">
        <v>26</v>
      </c>
      <c r="Q64" s="7">
        <v>19.5</v>
      </c>
      <c r="R64" s="10"/>
      <c r="S64" s="10"/>
      <c r="T64" s="10"/>
      <c r="U64" s="10"/>
      <c r="V64" s="10"/>
      <c r="W64" s="10"/>
      <c r="X64" s="10">
        <f>9.66*3.28084</f>
        <v>31.692914399999999</v>
      </c>
      <c r="Y64" s="10"/>
      <c r="Z64" s="10"/>
    </row>
    <row r="65" spans="1:26" x14ac:dyDescent="0.3">
      <c r="A65" s="6" t="str">
        <f t="shared" si="0"/>
        <v>DP 3.5in x 2.764in  - 13.3 # SLH90 Grade G</v>
      </c>
      <c r="B65" s="6">
        <v>3.5</v>
      </c>
      <c r="C65" s="6">
        <v>2.7639999999999998</v>
      </c>
      <c r="D65" s="7">
        <v>14.07</v>
      </c>
      <c r="E65" s="8" t="s">
        <v>38</v>
      </c>
      <c r="F65" s="7">
        <v>13.3</v>
      </c>
      <c r="G65" s="6">
        <v>4.75</v>
      </c>
      <c r="H65" s="9">
        <v>2.5625</v>
      </c>
      <c r="I65" s="8" t="s">
        <v>17</v>
      </c>
      <c r="L65" s="6" t="str">
        <f t="shared" ref="L65:L74" si="4">CONCATENATE("HWDP ", M65,"in x ",N65,"in  - ",Q65, " # ", P65, )</f>
        <v>HWDP 3.5in x 2.25in  - 23.2 # NC38(IF)</v>
      </c>
      <c r="M65" s="6">
        <v>3.5</v>
      </c>
      <c r="N65" s="6">
        <v>2.25</v>
      </c>
      <c r="O65" s="7">
        <v>23.2</v>
      </c>
      <c r="P65" s="8" t="s">
        <v>37</v>
      </c>
      <c r="Q65" s="13">
        <v>23.2</v>
      </c>
      <c r="R65" s="7">
        <v>4.75</v>
      </c>
      <c r="S65" s="9">
        <v>2.1875</v>
      </c>
      <c r="T65" s="10"/>
      <c r="U65" s="10"/>
      <c r="V65" s="10"/>
      <c r="W65" s="10"/>
      <c r="X65" s="10"/>
      <c r="Y65" s="10"/>
      <c r="Z65" s="10"/>
    </row>
    <row r="66" spans="1:26" x14ac:dyDescent="0.3">
      <c r="A66" s="6" t="str">
        <f t="shared" si="0"/>
        <v>DP 3.5in x 2.764in  - 13.3 # NC38(IF) Grade S</v>
      </c>
      <c r="B66" s="6">
        <v>3.5</v>
      </c>
      <c r="C66" s="6">
        <v>2.7639999999999998</v>
      </c>
      <c r="D66" s="7">
        <v>14.69</v>
      </c>
      <c r="E66" s="8" t="s">
        <v>37</v>
      </c>
      <c r="F66" s="13">
        <v>13.3</v>
      </c>
      <c r="G66" s="6">
        <v>5</v>
      </c>
      <c r="H66" s="9">
        <v>2.125</v>
      </c>
      <c r="I66" s="8" t="s">
        <v>18</v>
      </c>
      <c r="L66" s="6" t="str">
        <f t="shared" si="4"/>
        <v>HWDP 3.5in x 2.063in  - 25.3 # NC38(IF)</v>
      </c>
      <c r="M66" s="6">
        <v>3.5</v>
      </c>
      <c r="N66" s="6">
        <v>2.0630000000000002</v>
      </c>
      <c r="O66" s="7">
        <v>25.3</v>
      </c>
      <c r="P66" s="8" t="s">
        <v>37</v>
      </c>
      <c r="Q66" s="13">
        <v>25.3</v>
      </c>
      <c r="R66" s="7">
        <v>4.75</v>
      </c>
      <c r="S66" s="9">
        <v>2.1875</v>
      </c>
      <c r="T66" s="10"/>
      <c r="U66" s="10"/>
      <c r="V66" s="10"/>
      <c r="W66" s="10"/>
      <c r="X66" s="10"/>
      <c r="Y66" s="10"/>
      <c r="Z66" s="10"/>
    </row>
    <row r="67" spans="1:26" x14ac:dyDescent="0.3">
      <c r="A67" s="6" t="str">
        <f t="shared" si="0"/>
        <v>DP 3.5in x 2.764in  - 13.3 # NC40(FH) Grade S</v>
      </c>
      <c r="B67" s="6">
        <v>3.5</v>
      </c>
      <c r="C67" s="6">
        <v>2.7639999999999998</v>
      </c>
      <c r="D67" s="7">
        <v>15.04</v>
      </c>
      <c r="E67" s="8" t="s">
        <v>30</v>
      </c>
      <c r="F67" s="13">
        <v>13.3</v>
      </c>
      <c r="G67" s="6">
        <v>5.375</v>
      </c>
      <c r="H67" s="9">
        <v>2.4375</v>
      </c>
      <c r="I67" s="8" t="s">
        <v>18</v>
      </c>
      <c r="L67" s="6" t="str">
        <f t="shared" si="4"/>
        <v xml:space="preserve">HWDP 4in x 2in  - 29.92 # </v>
      </c>
      <c r="M67" s="6">
        <v>4</v>
      </c>
      <c r="N67" s="6">
        <v>2</v>
      </c>
      <c r="O67" s="7">
        <v>29.92</v>
      </c>
      <c r="P67" s="8"/>
      <c r="Q67" s="7">
        <v>29.92</v>
      </c>
      <c r="R67" s="7"/>
      <c r="S67" s="9"/>
      <c r="T67" s="10"/>
      <c r="U67" s="10"/>
      <c r="V67" s="10"/>
      <c r="W67" s="10"/>
      <c r="X67" s="10"/>
      <c r="Y67" s="10"/>
      <c r="Z67" s="10"/>
    </row>
    <row r="68" spans="1:26" x14ac:dyDescent="0.3">
      <c r="A68" s="6" t="str">
        <f t="shared" si="0"/>
        <v>DP 3.5in x 2.764in  - 13.3 # NC38(IF) Grade X</v>
      </c>
      <c r="B68" s="6">
        <v>3.5</v>
      </c>
      <c r="C68" s="6">
        <v>2.7639999999999998</v>
      </c>
      <c r="D68" s="6">
        <v>14.41</v>
      </c>
      <c r="E68" s="8" t="s">
        <v>37</v>
      </c>
      <c r="F68" s="7">
        <v>13.3</v>
      </c>
      <c r="G68" s="6">
        <v>5</v>
      </c>
      <c r="H68" s="9">
        <v>2.5625</v>
      </c>
      <c r="I68" s="8" t="s">
        <v>20</v>
      </c>
      <c r="L68" s="6" t="str">
        <f t="shared" si="4"/>
        <v>HWDP 4in x 2.562in  - 28.4 # 4" XT-39</v>
      </c>
      <c r="M68" s="6">
        <v>4</v>
      </c>
      <c r="N68" s="6">
        <v>2.5619999999999998</v>
      </c>
      <c r="O68" s="7">
        <v>29.7</v>
      </c>
      <c r="P68" s="8" t="s">
        <v>35</v>
      </c>
      <c r="Q68" s="13">
        <v>28.4</v>
      </c>
      <c r="R68" s="7">
        <v>4.875</v>
      </c>
      <c r="S68" s="9">
        <v>2.4369999999999998</v>
      </c>
      <c r="T68" s="10"/>
      <c r="U68" s="10"/>
      <c r="V68" s="10"/>
      <c r="W68" s="10"/>
      <c r="X68" s="10"/>
      <c r="Y68" s="10"/>
      <c r="Z68" s="10"/>
    </row>
    <row r="69" spans="1:26" x14ac:dyDescent="0.3">
      <c r="A69" s="6" t="str">
        <f t="shared" si="0"/>
        <v>DP 3.5in x 2.764in  - 13.3 # SLH90 Grade X</v>
      </c>
      <c r="B69" s="6">
        <v>3.5</v>
      </c>
      <c r="C69" s="6">
        <v>2.7639999999999998</v>
      </c>
      <c r="D69" s="6">
        <v>14.07</v>
      </c>
      <c r="E69" s="8" t="s">
        <v>38</v>
      </c>
      <c r="F69" s="7">
        <v>13.3</v>
      </c>
      <c r="G69" s="6">
        <v>4.75</v>
      </c>
      <c r="H69" s="9">
        <v>2.5625</v>
      </c>
      <c r="I69" s="8" t="s">
        <v>20</v>
      </c>
      <c r="L69" s="6" t="str">
        <f t="shared" si="4"/>
        <v>HWDP 4in x 2.563in  -  # 4" ST39</v>
      </c>
      <c r="M69" s="6">
        <v>4</v>
      </c>
      <c r="N69" s="6">
        <v>2.5630000000000002</v>
      </c>
      <c r="O69" s="7">
        <v>28.88</v>
      </c>
      <c r="P69" s="8" t="s">
        <v>39</v>
      </c>
      <c r="Q69" s="13"/>
      <c r="R69" s="7"/>
      <c r="S69" s="9"/>
      <c r="T69" s="10"/>
      <c r="U69" s="10"/>
      <c r="V69" s="10"/>
      <c r="W69" s="10"/>
      <c r="X69" s="10"/>
      <c r="Y69" s="10"/>
      <c r="Z69" s="10"/>
    </row>
    <row r="70" spans="1:26" x14ac:dyDescent="0.3">
      <c r="A70" s="6" t="str">
        <f t="shared" ref="A70:A81" si="5">CONCATENATE("DP ", B70,"in x ",C70,"in  - ",F70, " # ", E70, " Grade ",I70)</f>
        <v>DP 3.5in x 2.764in  - 13.3 # H90 Grade X</v>
      </c>
      <c r="B70" s="6">
        <v>3.5</v>
      </c>
      <c r="C70" s="6">
        <v>2.7639999999999998</v>
      </c>
      <c r="D70" s="6">
        <v>14.63</v>
      </c>
      <c r="E70" s="8" t="s">
        <v>24</v>
      </c>
      <c r="F70" s="7">
        <v>13.3</v>
      </c>
      <c r="G70" s="6">
        <v>5.25</v>
      </c>
      <c r="H70" s="9">
        <v>2.75</v>
      </c>
      <c r="I70" s="8" t="s">
        <v>20</v>
      </c>
      <c r="L70" s="6" t="str">
        <f t="shared" si="4"/>
        <v>HWDP 4in x 2.563in  - 29.7 # NC40(FH)</v>
      </c>
      <c r="M70" s="6">
        <v>4</v>
      </c>
      <c r="N70" s="6">
        <v>2.5630000000000002</v>
      </c>
      <c r="O70" s="7">
        <v>29.7</v>
      </c>
      <c r="P70" s="8" t="s">
        <v>30</v>
      </c>
      <c r="Q70" s="13">
        <v>29.7</v>
      </c>
      <c r="R70" s="7">
        <v>5.25</v>
      </c>
      <c r="S70" s="9">
        <v>2.6875</v>
      </c>
      <c r="T70" s="10"/>
      <c r="U70" s="10"/>
      <c r="V70" s="10"/>
      <c r="W70" s="10"/>
      <c r="X70" s="10"/>
      <c r="Y70" s="10"/>
      <c r="Z70" s="10"/>
    </row>
    <row r="71" spans="1:26" x14ac:dyDescent="0.3">
      <c r="A71" s="6" t="str">
        <f t="shared" si="5"/>
        <v>DP 3.5in x 2.602in  - 15.5 # NC38(IF) Grade G</v>
      </c>
      <c r="B71" s="6">
        <v>3.5</v>
      </c>
      <c r="C71" s="6">
        <v>2.6019999999999999</v>
      </c>
      <c r="D71" s="7">
        <v>16.88</v>
      </c>
      <c r="E71" s="8" t="s">
        <v>37</v>
      </c>
      <c r="F71" s="7">
        <v>15.5</v>
      </c>
      <c r="G71" s="6">
        <v>5</v>
      </c>
      <c r="H71" s="9">
        <v>2.125</v>
      </c>
      <c r="I71" s="8" t="s">
        <v>17</v>
      </c>
      <c r="L71" s="6" t="str">
        <f t="shared" si="4"/>
        <v>HWDP 5.5in x 3.375in  - 57 # FH</v>
      </c>
      <c r="M71" s="6">
        <v>5.5</v>
      </c>
      <c r="N71" s="6">
        <v>3.375</v>
      </c>
      <c r="O71" s="7">
        <v>57</v>
      </c>
      <c r="P71" s="8" t="s">
        <v>16</v>
      </c>
      <c r="Q71" s="13">
        <v>57</v>
      </c>
      <c r="R71" s="7">
        <v>7</v>
      </c>
      <c r="S71" s="9">
        <v>3.5</v>
      </c>
      <c r="T71" s="10"/>
      <c r="U71" s="10"/>
      <c r="V71" s="10"/>
      <c r="W71" s="10"/>
      <c r="X71" s="10"/>
      <c r="Y71" s="10"/>
      <c r="Z71" s="10"/>
    </row>
    <row r="72" spans="1:26" x14ac:dyDescent="0.3">
      <c r="A72" s="6" t="str">
        <f t="shared" si="5"/>
        <v>DP 3.5in x 2.602in  - 15.5 # NC40(FH) Grade G</v>
      </c>
      <c r="B72" s="6">
        <v>3.5</v>
      </c>
      <c r="C72" s="6">
        <v>2.6019999999999999</v>
      </c>
      <c r="D72" s="7">
        <v>16.96</v>
      </c>
      <c r="E72" s="8" t="s">
        <v>30</v>
      </c>
      <c r="F72" s="7">
        <v>15.5</v>
      </c>
      <c r="G72" s="6">
        <v>5.25</v>
      </c>
      <c r="H72" s="9">
        <v>2.4380000000000002</v>
      </c>
      <c r="I72" s="8" t="s">
        <v>17</v>
      </c>
      <c r="L72" s="6" t="str">
        <f t="shared" si="4"/>
        <v>HWDP 5.5in x 4in  - 50.7 # FH</v>
      </c>
      <c r="M72" s="6">
        <v>5.5</v>
      </c>
      <c r="N72" s="6">
        <v>4</v>
      </c>
      <c r="O72" s="7">
        <v>50.7</v>
      </c>
      <c r="P72" s="8" t="s">
        <v>16</v>
      </c>
      <c r="Q72" s="13">
        <v>50.7</v>
      </c>
      <c r="R72" s="7">
        <v>7</v>
      </c>
      <c r="S72" s="9">
        <v>3.5</v>
      </c>
      <c r="T72" s="10"/>
      <c r="U72" s="10"/>
      <c r="V72" s="10"/>
      <c r="W72" s="10"/>
      <c r="X72" s="10"/>
      <c r="Y72" s="10"/>
      <c r="Z72" s="10"/>
    </row>
    <row r="73" spans="1:26" x14ac:dyDescent="0.3">
      <c r="A73" s="6" t="str">
        <f t="shared" si="5"/>
        <v>DP 3.5in x 2.602in  - 15.5 # NC40(FH) Grade S</v>
      </c>
      <c r="B73" s="6">
        <v>3.5</v>
      </c>
      <c r="C73" s="6">
        <v>2.6019999999999999</v>
      </c>
      <c r="D73" s="7">
        <v>17.559999999999999</v>
      </c>
      <c r="E73" s="8" t="s">
        <v>30</v>
      </c>
      <c r="F73" s="13">
        <v>15.5</v>
      </c>
      <c r="G73" s="6">
        <v>5.5</v>
      </c>
      <c r="H73" s="9">
        <v>2.25</v>
      </c>
      <c r="I73" s="8" t="s">
        <v>18</v>
      </c>
      <c r="L73" s="6" t="str">
        <f t="shared" si="4"/>
        <v>HWDP 5in x 3in  - 49.3 # NC50(IF)</v>
      </c>
      <c r="M73" s="6">
        <v>5</v>
      </c>
      <c r="N73" s="6">
        <v>3</v>
      </c>
      <c r="O73" s="7">
        <v>49.3</v>
      </c>
      <c r="P73" s="8" t="s">
        <v>29</v>
      </c>
      <c r="Q73" s="13">
        <v>49.3</v>
      </c>
      <c r="R73" s="7">
        <v>6.5</v>
      </c>
      <c r="S73" s="9">
        <v>3.125</v>
      </c>
      <c r="T73" s="10"/>
      <c r="U73" s="10"/>
      <c r="V73" s="10"/>
      <c r="W73" s="10"/>
      <c r="X73" s="10"/>
      <c r="Y73" s="10"/>
      <c r="Z73" s="10"/>
    </row>
    <row r="74" spans="1:26" x14ac:dyDescent="0.3">
      <c r="A74" s="6" t="str">
        <f t="shared" si="5"/>
        <v>DP 3.5in x 2.602in  - 15.5 # NC38(IF) Grade X</v>
      </c>
      <c r="B74" s="6">
        <v>3.5</v>
      </c>
      <c r="C74" s="6">
        <v>2.6019999999999999</v>
      </c>
      <c r="D74" s="6">
        <v>16.690000000000001</v>
      </c>
      <c r="E74" s="8" t="s">
        <v>37</v>
      </c>
      <c r="F74" s="7">
        <v>15.5</v>
      </c>
      <c r="G74" s="6">
        <v>5</v>
      </c>
      <c r="H74" s="9">
        <v>2.4375</v>
      </c>
      <c r="I74" s="8" t="s">
        <v>20</v>
      </c>
      <c r="L74" s="6" t="str">
        <f t="shared" si="4"/>
        <v>HWDP 6.625in x 4.5in  - 70.8 # FH</v>
      </c>
      <c r="M74" s="6">
        <v>6.625</v>
      </c>
      <c r="N74" s="6">
        <v>4.5</v>
      </c>
      <c r="O74" s="7">
        <v>70.8</v>
      </c>
      <c r="P74" s="8" t="s">
        <v>16</v>
      </c>
      <c r="Q74" s="13">
        <v>70.8</v>
      </c>
      <c r="R74" s="7">
        <v>8</v>
      </c>
      <c r="S74" s="9">
        <v>4.5</v>
      </c>
      <c r="T74" s="10"/>
      <c r="U74" s="10"/>
      <c r="V74" s="10"/>
      <c r="W74" s="10"/>
      <c r="X74" s="10"/>
      <c r="Y74" s="10"/>
      <c r="Z74" s="10"/>
    </row>
    <row r="75" spans="1:26" x14ac:dyDescent="0.3">
      <c r="A75" s="6" t="str">
        <f t="shared" si="5"/>
        <v>DP 2.875in x 2.151in  - 10.4 # NC31(IF) Grade G</v>
      </c>
      <c r="B75" s="6">
        <v>2.875</v>
      </c>
      <c r="C75" s="6">
        <v>2.1509999999999998</v>
      </c>
      <c r="D75" s="7">
        <v>10.96</v>
      </c>
      <c r="E75" s="8" t="s">
        <v>40</v>
      </c>
      <c r="F75" s="7">
        <v>10.4</v>
      </c>
      <c r="G75" s="6">
        <v>4.125</v>
      </c>
      <c r="H75" s="9">
        <v>2</v>
      </c>
      <c r="I75" s="8" t="s">
        <v>17</v>
      </c>
      <c r="L75" s="6" t="str">
        <f t="shared" ref="L75:L82" si="6">CONCATENATE("HWDP spiral  ",M75,"in x ",N75,"in  - ",Q75, " # ", P75)</f>
        <v>HWDP spiral  2.375in x 2.125in  - 7.5 # SLH90</v>
      </c>
      <c r="M75" s="6">
        <v>2.375</v>
      </c>
      <c r="N75" s="6">
        <v>2.125</v>
      </c>
      <c r="O75" s="7">
        <v>7.5</v>
      </c>
      <c r="P75" s="8" t="s">
        <v>38</v>
      </c>
      <c r="Q75" s="13">
        <v>7.5</v>
      </c>
      <c r="R75" s="7">
        <v>3</v>
      </c>
      <c r="S75" s="9">
        <v>2.125</v>
      </c>
      <c r="T75" s="10"/>
      <c r="U75" s="10"/>
      <c r="V75" s="10"/>
      <c r="W75" s="10"/>
      <c r="X75" s="10"/>
      <c r="Y75" s="10"/>
      <c r="Z75" s="10"/>
    </row>
    <row r="76" spans="1:26" x14ac:dyDescent="0.3">
      <c r="A76" s="6" t="str">
        <f t="shared" si="5"/>
        <v>DP 2.875in x 2.151in  - 10.4 # SLH90 Grade G</v>
      </c>
      <c r="B76" s="6">
        <v>2.875</v>
      </c>
      <c r="C76" s="6">
        <v>2.1509999999999998</v>
      </c>
      <c r="D76" s="7">
        <v>10.84</v>
      </c>
      <c r="E76" s="8" t="s">
        <v>38</v>
      </c>
      <c r="F76" s="7">
        <v>10.4</v>
      </c>
      <c r="G76" s="6">
        <v>4</v>
      </c>
      <c r="H76" s="9">
        <v>2</v>
      </c>
      <c r="I76" s="8" t="s">
        <v>17</v>
      </c>
      <c r="L76" s="6" t="str">
        <f t="shared" si="6"/>
        <v>HWDP spiral  2.875in x 2.125in  - 15.8 # SLH90</v>
      </c>
      <c r="M76" s="6">
        <v>2.875</v>
      </c>
      <c r="N76" s="6">
        <v>2.125</v>
      </c>
      <c r="O76" s="7">
        <v>15.8</v>
      </c>
      <c r="P76" s="8" t="s">
        <v>38</v>
      </c>
      <c r="Q76" s="13">
        <v>15.8</v>
      </c>
      <c r="R76" s="7">
        <v>3.75</v>
      </c>
      <c r="S76" s="9">
        <v>2.125</v>
      </c>
      <c r="T76" s="10"/>
      <c r="U76" s="10"/>
      <c r="V76" s="10"/>
      <c r="W76" s="10"/>
      <c r="X76" s="10"/>
      <c r="Y76" s="10"/>
      <c r="Z76" s="10"/>
    </row>
    <row r="77" spans="1:26" x14ac:dyDescent="0.3">
      <c r="A77" s="6" t="str">
        <f t="shared" si="5"/>
        <v>DP 2.875in x 2.151in  - 10.4 # NC31(IF) Grade S</v>
      </c>
      <c r="B77" s="6">
        <v>2.875</v>
      </c>
      <c r="C77" s="6">
        <v>2.1509999999999998</v>
      </c>
      <c r="D77" s="7">
        <v>11.38</v>
      </c>
      <c r="E77" s="8" t="s">
        <v>40</v>
      </c>
      <c r="F77" s="13">
        <v>10.4</v>
      </c>
      <c r="G77" s="6">
        <v>4.375</v>
      </c>
      <c r="H77" s="9">
        <v>1.625</v>
      </c>
      <c r="I77" s="8" t="s">
        <v>18</v>
      </c>
      <c r="L77" s="6" t="str">
        <f t="shared" si="6"/>
        <v>HWDP spiral  3.5in x 2.25in  - 26.7 # NC38(IF)</v>
      </c>
      <c r="M77" s="6">
        <v>3.5</v>
      </c>
      <c r="N77" s="6">
        <v>2.25</v>
      </c>
      <c r="O77" s="7">
        <v>26.7</v>
      </c>
      <c r="P77" s="8" t="s">
        <v>37</v>
      </c>
      <c r="Q77" s="13">
        <v>26.7</v>
      </c>
      <c r="R77" s="7">
        <v>4.75</v>
      </c>
      <c r="S77" s="9">
        <v>2.3125</v>
      </c>
      <c r="T77" s="10"/>
      <c r="U77" s="10"/>
      <c r="V77" s="10"/>
      <c r="W77" s="10"/>
      <c r="X77" s="10"/>
      <c r="Y77" s="10"/>
      <c r="Z77" s="10"/>
    </row>
    <row r="78" spans="1:26" x14ac:dyDescent="0.3">
      <c r="A78" s="6" t="str">
        <f t="shared" si="5"/>
        <v>DP 2.875in x 2.151in  - 10.4 # NC31(IF) Grade X</v>
      </c>
      <c r="B78" s="6">
        <v>2.875</v>
      </c>
      <c r="C78" s="6">
        <v>2.1509999999999998</v>
      </c>
      <c r="D78" s="6">
        <v>10.96</v>
      </c>
      <c r="E78" s="8" t="s">
        <v>40</v>
      </c>
      <c r="F78" s="7">
        <v>10.4</v>
      </c>
      <c r="G78" s="6">
        <v>4.125</v>
      </c>
      <c r="H78" s="9">
        <v>2</v>
      </c>
      <c r="I78" s="8" t="s">
        <v>20</v>
      </c>
      <c r="L78" s="6" t="str">
        <f t="shared" si="6"/>
        <v>HWDP spiral  4.5in x 2.75in  - 42.6 # NC46(XH)</v>
      </c>
      <c r="M78" s="6">
        <v>4.5</v>
      </c>
      <c r="N78" s="6">
        <v>2.75</v>
      </c>
      <c r="O78" s="7">
        <v>42.6</v>
      </c>
      <c r="P78" s="8" t="s">
        <v>28</v>
      </c>
      <c r="Q78" s="13">
        <v>42.6</v>
      </c>
      <c r="R78" s="7">
        <v>6.25</v>
      </c>
      <c r="S78" s="9">
        <v>2.875</v>
      </c>
      <c r="T78" s="10"/>
      <c r="U78" s="10"/>
      <c r="V78" s="10"/>
      <c r="W78" s="10"/>
      <c r="X78" s="10"/>
      <c r="Y78" s="10"/>
      <c r="Z78" s="10"/>
    </row>
    <row r="79" spans="1:26" x14ac:dyDescent="0.3">
      <c r="A79" s="6" t="str">
        <f t="shared" si="5"/>
        <v>DP 2.875in x 2.151in  - 10.4 # SLH90 Grade X</v>
      </c>
      <c r="B79" s="6">
        <v>2.875</v>
      </c>
      <c r="C79" s="6">
        <v>2.1509999999999998</v>
      </c>
      <c r="D79" s="6">
        <v>10.84</v>
      </c>
      <c r="E79" s="8" t="s">
        <v>38</v>
      </c>
      <c r="F79" s="7">
        <v>10.4</v>
      </c>
      <c r="G79" s="6">
        <v>4</v>
      </c>
      <c r="H79" s="9">
        <v>2</v>
      </c>
      <c r="I79" s="8" t="s">
        <v>20</v>
      </c>
      <c r="L79" s="6" t="str">
        <f t="shared" si="6"/>
        <v>HWDP spiral  4in x 2.563in  - 32.7 # NC40(FH)</v>
      </c>
      <c r="M79" s="6">
        <v>4</v>
      </c>
      <c r="N79" s="6">
        <v>2.5630000000000002</v>
      </c>
      <c r="O79" s="7">
        <v>32.700000000000003</v>
      </c>
      <c r="P79" s="8" t="s">
        <v>30</v>
      </c>
      <c r="Q79" s="13">
        <v>32.700000000000003</v>
      </c>
      <c r="R79" s="7">
        <v>5.25</v>
      </c>
      <c r="S79" s="9">
        <v>2.6875</v>
      </c>
      <c r="T79" s="10"/>
      <c r="U79" s="10"/>
      <c r="V79" s="10"/>
      <c r="W79" s="10"/>
      <c r="X79" s="10"/>
      <c r="Y79" s="10"/>
      <c r="Z79" s="10"/>
    </row>
    <row r="80" spans="1:26" x14ac:dyDescent="0.3">
      <c r="A80" s="6" t="str">
        <f t="shared" si="5"/>
        <v>DP 2.375in x 1.815in  - 6.65 # NC26(IF) Grade G</v>
      </c>
      <c r="B80" s="6">
        <v>2.375</v>
      </c>
      <c r="C80" s="6">
        <v>1.8149999999999999</v>
      </c>
      <c r="D80" s="7">
        <v>7.01</v>
      </c>
      <c r="E80" s="8" t="s">
        <v>41</v>
      </c>
      <c r="F80" s="7">
        <v>6.65</v>
      </c>
      <c r="G80" s="6">
        <v>3.375</v>
      </c>
      <c r="H80" s="9">
        <v>1.75</v>
      </c>
      <c r="I80" s="8" t="s">
        <v>17</v>
      </c>
      <c r="L80" s="6" t="str">
        <f t="shared" si="6"/>
        <v>HWDP spiral  5.5in x 4in  - 50.7 # FH</v>
      </c>
      <c r="M80" s="6">
        <v>5.5</v>
      </c>
      <c r="N80" s="6">
        <v>4</v>
      </c>
      <c r="O80" s="7">
        <v>50.7</v>
      </c>
      <c r="P80" s="6" t="s">
        <v>16</v>
      </c>
      <c r="Q80" s="6">
        <v>50.7</v>
      </c>
      <c r="R80" s="6">
        <v>7.25</v>
      </c>
      <c r="S80" s="6">
        <v>4</v>
      </c>
      <c r="T80" s="10"/>
      <c r="U80" s="10"/>
      <c r="V80" s="10"/>
      <c r="W80" s="10"/>
      <c r="X80" s="10"/>
      <c r="Y80" s="10"/>
      <c r="Z80" s="10"/>
    </row>
    <row r="81" spans="1:26" x14ac:dyDescent="0.3">
      <c r="A81" s="6" t="str">
        <f t="shared" si="5"/>
        <v>DP 2.375in x 1.815in  - 6.65 # NC26(IF) Grade X</v>
      </c>
      <c r="B81" s="6">
        <v>2.375</v>
      </c>
      <c r="C81" s="6">
        <v>1.8149999999999999</v>
      </c>
      <c r="D81" s="6">
        <v>7.01</v>
      </c>
      <c r="E81" s="8" t="s">
        <v>41</v>
      </c>
      <c r="F81" s="7">
        <v>6.65</v>
      </c>
      <c r="G81" s="6">
        <v>3.375</v>
      </c>
      <c r="H81" s="9">
        <v>1.75</v>
      </c>
      <c r="I81" s="8" t="s">
        <v>20</v>
      </c>
      <c r="L81" s="6" t="str">
        <f t="shared" si="6"/>
        <v>HWDP spiral  5in x 3in  - 53.6 # NC50(IF)</v>
      </c>
      <c r="M81" s="6">
        <v>5</v>
      </c>
      <c r="N81" s="6">
        <v>3</v>
      </c>
      <c r="O81" s="7">
        <v>53.6</v>
      </c>
      <c r="P81" s="8" t="s">
        <v>29</v>
      </c>
      <c r="Q81" s="13">
        <v>53.6</v>
      </c>
      <c r="R81" s="7">
        <v>6.5</v>
      </c>
      <c r="S81" s="9">
        <v>3.125</v>
      </c>
      <c r="T81" s="10"/>
      <c r="U81" s="10"/>
      <c r="V81" s="10"/>
      <c r="W81" s="10"/>
      <c r="X81" s="10"/>
      <c r="Y81" s="10"/>
      <c r="Z81" s="10"/>
    </row>
    <row r="82" spans="1:26" x14ac:dyDescent="0.3">
      <c r="L82" s="6" t="str">
        <f t="shared" si="6"/>
        <v>HWDP spiral  6.625in x 5in  - 57 # FH</v>
      </c>
      <c r="M82" s="6">
        <v>6.625</v>
      </c>
      <c r="N82" s="6">
        <v>5</v>
      </c>
      <c r="O82" s="7">
        <v>57</v>
      </c>
      <c r="P82" s="6" t="s">
        <v>16</v>
      </c>
      <c r="Q82" s="6">
        <v>57</v>
      </c>
      <c r="R82" s="6">
        <v>8</v>
      </c>
      <c r="S82" s="6">
        <v>5</v>
      </c>
      <c r="T82" s="10"/>
      <c r="U82" s="10"/>
      <c r="V82" s="10"/>
      <c r="W82" s="10"/>
      <c r="X82" s="10"/>
      <c r="Y82" s="10"/>
      <c r="Z82" s="10"/>
    </row>
    <row r="83" spans="1:26" x14ac:dyDescent="0.3">
      <c r="L83" s="6" t="str">
        <f t="shared" ref="L83:L89" si="7">CONCATENATE("JAR  ", Z83, " ",M83, "in - ",O83, " # ")</f>
        <v xml:space="preserve">JAR   9.5in -  # </v>
      </c>
      <c r="M83" s="10">
        <v>9.5</v>
      </c>
      <c r="N83" s="10"/>
      <c r="O83" s="18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x14ac:dyDescent="0.3">
      <c r="L84" s="6" t="str">
        <f t="shared" si="7"/>
        <v xml:space="preserve">JAR  OSC HQ 4.75in - 58.1 # </v>
      </c>
      <c r="M84" s="10">
        <v>4.75</v>
      </c>
      <c r="N84" s="10">
        <v>2.25</v>
      </c>
      <c r="O84" s="18">
        <f t="shared" ref="O84:O89" si="8">ROUND((Y84/X84),1)</f>
        <v>58.1</v>
      </c>
      <c r="P84" s="10"/>
      <c r="Q84" s="10"/>
      <c r="R84" s="10"/>
      <c r="S84" s="10"/>
      <c r="T84" s="10"/>
      <c r="U84" s="10"/>
      <c r="V84" s="10"/>
      <c r="W84" s="10"/>
      <c r="X84" s="10">
        <v>31</v>
      </c>
      <c r="Y84" s="10">
        <v>1800</v>
      </c>
      <c r="Z84" s="10" t="s">
        <v>42</v>
      </c>
    </row>
    <row r="85" spans="1:26" x14ac:dyDescent="0.3">
      <c r="L85" s="6" t="str">
        <f t="shared" si="7"/>
        <v xml:space="preserve">JAR  OSC HQ 6.25in - 78.8 # </v>
      </c>
      <c r="M85" s="10">
        <v>6.25</v>
      </c>
      <c r="N85" s="10">
        <v>2.75</v>
      </c>
      <c r="O85" s="18">
        <f t="shared" si="8"/>
        <v>78.8</v>
      </c>
      <c r="P85" s="10"/>
      <c r="Q85" s="10"/>
      <c r="R85" s="10"/>
      <c r="S85" s="10"/>
      <c r="T85" s="10"/>
      <c r="U85" s="10"/>
      <c r="V85" s="10"/>
      <c r="W85" s="10"/>
      <c r="X85" s="10">
        <v>33</v>
      </c>
      <c r="Y85" s="10">
        <v>2600</v>
      </c>
      <c r="Z85" s="10" t="s">
        <v>42</v>
      </c>
    </row>
    <row r="86" spans="1:26" x14ac:dyDescent="0.3">
      <c r="L86" s="6" t="str">
        <f t="shared" si="7"/>
        <v xml:space="preserve">JAR  OSC HQ 6.5in - 78.8 # </v>
      </c>
      <c r="M86" s="10">
        <v>6.5</v>
      </c>
      <c r="N86" s="10">
        <v>2.75</v>
      </c>
      <c r="O86" s="18">
        <f t="shared" si="8"/>
        <v>78.8</v>
      </c>
      <c r="P86" s="10"/>
      <c r="Q86" s="10"/>
      <c r="R86" s="10"/>
      <c r="S86" s="10"/>
      <c r="T86" s="10"/>
      <c r="U86" s="10"/>
      <c r="V86" s="10"/>
      <c r="W86" s="10"/>
      <c r="X86" s="10">
        <v>33</v>
      </c>
      <c r="Y86" s="10">
        <v>2600</v>
      </c>
      <c r="Z86" s="10" t="s">
        <v>42</v>
      </c>
    </row>
    <row r="87" spans="1:26" x14ac:dyDescent="0.3">
      <c r="L87" s="6" t="str">
        <f t="shared" si="7"/>
        <v xml:space="preserve">JAR  OSC HQ 6in - 72.7 # </v>
      </c>
      <c r="M87" s="10">
        <v>6</v>
      </c>
      <c r="N87" s="10">
        <v>2.75</v>
      </c>
      <c r="O87" s="18">
        <f t="shared" si="8"/>
        <v>72.7</v>
      </c>
      <c r="P87" s="10"/>
      <c r="Q87" s="10"/>
      <c r="R87" s="10"/>
      <c r="S87" s="10"/>
      <c r="T87" s="10"/>
      <c r="U87" s="10"/>
      <c r="V87" s="10"/>
      <c r="W87" s="10"/>
      <c r="X87" s="10">
        <v>33</v>
      </c>
      <c r="Y87" s="10">
        <v>2400</v>
      </c>
      <c r="Z87" s="10" t="s">
        <v>42</v>
      </c>
    </row>
    <row r="88" spans="1:26" x14ac:dyDescent="0.3">
      <c r="L88" s="6" t="str">
        <f t="shared" si="7"/>
        <v xml:space="preserve">JAR  OSC HQ 8in - 111.8 # </v>
      </c>
      <c r="M88" s="10">
        <v>8</v>
      </c>
      <c r="N88" s="10">
        <v>3</v>
      </c>
      <c r="O88" s="18">
        <f t="shared" si="8"/>
        <v>111.8</v>
      </c>
      <c r="P88" s="10"/>
      <c r="Q88" s="10"/>
      <c r="R88" s="10"/>
      <c r="S88" s="10"/>
      <c r="T88" s="10"/>
      <c r="U88" s="10"/>
      <c r="V88" s="10"/>
      <c r="W88" s="10"/>
      <c r="X88" s="10">
        <v>34</v>
      </c>
      <c r="Y88" s="10">
        <v>3800</v>
      </c>
      <c r="Z88" s="10" t="s">
        <v>42</v>
      </c>
    </row>
    <row r="89" spans="1:26" x14ac:dyDescent="0.3">
      <c r="L89" s="6" t="str">
        <f t="shared" si="7"/>
        <v xml:space="preserve">JAR  OSC HQ 9.5in - 158.5 # </v>
      </c>
      <c r="M89" s="10">
        <v>9.5</v>
      </c>
      <c r="N89" s="10">
        <v>3</v>
      </c>
      <c r="O89" s="18">
        <f t="shared" si="8"/>
        <v>158.5</v>
      </c>
      <c r="P89" s="10"/>
      <c r="Q89" s="10"/>
      <c r="R89" s="10"/>
      <c r="S89" s="10"/>
      <c r="T89" s="10"/>
      <c r="U89" s="10"/>
      <c r="V89" s="10"/>
      <c r="W89" s="10"/>
      <c r="X89" s="10">
        <v>33</v>
      </c>
      <c r="Y89" s="10">
        <v>5230</v>
      </c>
      <c r="Z89" s="10" t="s">
        <v>42</v>
      </c>
    </row>
    <row r="90" spans="1:26" x14ac:dyDescent="0.3">
      <c r="L90" s="6" t="str">
        <f>CONCATENATE("MILL  ", Z90, " ",M90, "in - ",O90, " # ")</f>
        <v xml:space="preserve">MILL  Cyclone 8.5in - 92.4 # </v>
      </c>
      <c r="M90" s="10">
        <v>8.5</v>
      </c>
      <c r="N90" s="10">
        <v>1.5</v>
      </c>
      <c r="O90" s="18">
        <v>92.4</v>
      </c>
      <c r="P90" s="10"/>
      <c r="Q90" s="10"/>
      <c r="R90" s="10"/>
      <c r="S90" s="10"/>
      <c r="T90" s="10"/>
      <c r="U90" s="10"/>
      <c r="V90" s="10"/>
      <c r="W90" s="10"/>
      <c r="X90" s="18">
        <f>1.89*3.28084</f>
        <v>6.2007876</v>
      </c>
      <c r="Y90" s="10">
        <v>573</v>
      </c>
      <c r="Z90" s="10" t="s">
        <v>43</v>
      </c>
    </row>
    <row r="91" spans="1:26" x14ac:dyDescent="0.3">
      <c r="L91" s="6" t="str">
        <f>CONCATENATE("MLWD ",M91," TELESCOPE")</f>
        <v>MLWD  TELESCOPE</v>
      </c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x14ac:dyDescent="0.3">
      <c r="L92" s="6" t="s">
        <v>44</v>
      </c>
      <c r="M92" s="10">
        <v>4.75</v>
      </c>
      <c r="N92" s="10">
        <v>1.25</v>
      </c>
      <c r="O92" s="10">
        <v>45.5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x14ac:dyDescent="0.3">
      <c r="L93" s="6" t="s">
        <v>45</v>
      </c>
      <c r="M93" s="10">
        <v>4.75</v>
      </c>
      <c r="N93" s="10">
        <v>1.25</v>
      </c>
      <c r="O93" s="10">
        <v>50.5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x14ac:dyDescent="0.3">
      <c r="L94" s="6" t="s">
        <v>46</v>
      </c>
      <c r="M94" s="10">
        <v>4.75</v>
      </c>
      <c r="N94" s="10">
        <v>2.8119999999999998</v>
      </c>
      <c r="O94" s="10">
        <v>46.1</v>
      </c>
      <c r="P94" s="10"/>
      <c r="Q94" s="10"/>
      <c r="R94" s="10"/>
      <c r="S94" s="10"/>
      <c r="T94" s="10"/>
      <c r="U94" s="10"/>
      <c r="V94" s="10"/>
      <c r="W94" s="10"/>
      <c r="X94" s="10">
        <v>30.68</v>
      </c>
      <c r="Y94" s="10"/>
      <c r="Z94" s="10"/>
    </row>
    <row r="95" spans="1:26" x14ac:dyDescent="0.3">
      <c r="L95" s="6" t="s">
        <v>47</v>
      </c>
      <c r="M95" s="10">
        <v>4.75</v>
      </c>
      <c r="N95" s="10">
        <v>1.25</v>
      </c>
      <c r="O95" s="10">
        <v>47.9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x14ac:dyDescent="0.3">
      <c r="L96" s="6" t="s">
        <v>48</v>
      </c>
      <c r="M96" s="10">
        <v>4.75</v>
      </c>
      <c r="N96" s="10">
        <v>1.25</v>
      </c>
      <c r="O96" s="10">
        <v>48.2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0:26" x14ac:dyDescent="0.3">
      <c r="L97" s="6" t="str">
        <f>CONCATENATE("MLWD ",M97," ECOSCOPE")</f>
        <v>MLWD 6.75 ECOSCOPE</v>
      </c>
      <c r="M97" s="10">
        <v>6.75</v>
      </c>
      <c r="N97" s="10">
        <v>3.875</v>
      </c>
      <c r="O97" s="10">
        <v>107.15</v>
      </c>
      <c r="P97" s="10"/>
      <c r="Q97" s="10"/>
      <c r="R97" s="10"/>
      <c r="S97" s="10"/>
      <c r="T97" s="10">
        <v>8.25</v>
      </c>
      <c r="U97" s="10"/>
      <c r="V97" s="10"/>
      <c r="W97" s="10"/>
      <c r="X97" s="10">
        <f>7.68*K111</f>
        <v>25.196851199999998</v>
      </c>
      <c r="Y97" s="10"/>
      <c r="Z97" s="10"/>
    </row>
    <row r="98" spans="10:26" x14ac:dyDescent="0.3">
      <c r="L98" s="6" t="str">
        <f>CONCATENATE("MLWD ",M98," EWR-GR Collar")</f>
        <v>MLWD 6.75 EWR-GR Collar</v>
      </c>
      <c r="M98" s="10">
        <v>6.75</v>
      </c>
      <c r="N98" s="10">
        <v>2</v>
      </c>
      <c r="O98" s="10">
        <v>104.3</v>
      </c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0:26" x14ac:dyDescent="0.3">
      <c r="L99" s="6" t="str">
        <f>CONCATENATE("MLWD ",M99," PM Collar")</f>
        <v>MLWD 6.75 PM Collar</v>
      </c>
      <c r="M99" s="10">
        <v>6.75</v>
      </c>
      <c r="N99" s="10">
        <v>3.125</v>
      </c>
      <c r="O99" s="10">
        <v>103.4</v>
      </c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0:26" x14ac:dyDescent="0.3">
      <c r="L100" s="6" t="str">
        <f>CONCATENATE("MLWD ",M100," PWD")</f>
        <v>MLWD 6.75 PWD</v>
      </c>
      <c r="M100" s="10">
        <v>6.75</v>
      </c>
      <c r="N100" s="10">
        <v>1.92</v>
      </c>
      <c r="O100" s="10">
        <v>101.7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0:26" x14ac:dyDescent="0.3">
      <c r="L101" s="6" t="str">
        <f>CONCATENATE("MLWD ",M101," TM HOC")</f>
        <v>MLWD 6.75 TM HOC</v>
      </c>
      <c r="M101" s="10">
        <v>6.75</v>
      </c>
      <c r="N101" s="10">
        <v>2.8450000000000002</v>
      </c>
      <c r="O101" s="10">
        <v>100.29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0:26" x14ac:dyDescent="0.3">
      <c r="L102" s="6" t="str">
        <f>CONCATENATE("MLWD ",M102," TELESCOPE")</f>
        <v>MLWD 6.75 TELESCOPE</v>
      </c>
      <c r="M102" s="10">
        <v>6.75</v>
      </c>
      <c r="N102" s="10">
        <v>4.875</v>
      </c>
      <c r="O102" s="10">
        <f>Y102/X102</f>
        <v>85.79555281009786</v>
      </c>
      <c r="P102" s="10"/>
      <c r="Q102" s="10"/>
      <c r="R102" s="10"/>
      <c r="S102" s="10"/>
      <c r="T102" s="10"/>
      <c r="U102" s="10"/>
      <c r="V102" s="10"/>
      <c r="W102" s="10"/>
      <c r="X102" s="10">
        <f>K111*7.83</f>
        <v>25.6889772</v>
      </c>
      <c r="Y102" s="10">
        <f>1000*K110</f>
        <v>2204</v>
      </c>
      <c r="Z102" s="10"/>
    </row>
    <row r="103" spans="10:26" x14ac:dyDescent="0.3">
      <c r="L103" s="6" t="str">
        <f>CONCATENATE("MLWD ",M103," TELESCOPE")</f>
        <v>MLWD 8.44 TELESCOPE</v>
      </c>
      <c r="M103" s="10">
        <v>8.44</v>
      </c>
      <c r="N103" s="10">
        <v>5.109</v>
      </c>
      <c r="O103" s="10">
        <v>145.19999999999999</v>
      </c>
      <c r="P103" s="10"/>
      <c r="Q103" s="10"/>
      <c r="R103" s="10"/>
      <c r="S103" s="10"/>
      <c r="T103" s="10"/>
      <c r="U103" s="10"/>
      <c r="V103" s="10"/>
      <c r="W103" s="10"/>
      <c r="X103" s="10">
        <v>26.54</v>
      </c>
      <c r="Y103" s="10"/>
      <c r="Z103" s="10"/>
    </row>
    <row r="104" spans="10:26" x14ac:dyDescent="0.3">
      <c r="L104" s="6" t="str">
        <f>CONCATENATE("MLWD ",M104," IMPULSE")</f>
        <v>MLWD 4.75 IMPULSE</v>
      </c>
      <c r="M104" s="10">
        <v>4.75</v>
      </c>
      <c r="N104" s="10">
        <v>2.25</v>
      </c>
      <c r="O104" s="10">
        <f>ROUND((Y104/X104),2)</f>
        <v>50</v>
      </c>
      <c r="P104" s="10"/>
      <c r="Q104" s="10"/>
      <c r="R104" s="10"/>
      <c r="S104" s="10"/>
      <c r="T104" s="10"/>
      <c r="U104" s="10"/>
      <c r="V104" s="10"/>
      <c r="W104" s="10"/>
      <c r="X104" s="10">
        <v>33.659999999999997</v>
      </c>
      <c r="Y104" s="10">
        <v>1683.0708494617634</v>
      </c>
      <c r="Z104" s="10"/>
    </row>
    <row r="105" spans="10:26" x14ac:dyDescent="0.3">
      <c r="L105" s="6" t="str">
        <f>CONCATENATE("MLWD ",M105," ADN4")</f>
        <v>MLWD 4.875 ADN4</v>
      </c>
      <c r="M105" s="10">
        <v>4.875</v>
      </c>
      <c r="N105" s="10">
        <v>2.25</v>
      </c>
      <c r="O105" s="10">
        <f>ROUND((Y105/X105),2)</f>
        <v>51.5</v>
      </c>
      <c r="P105" s="10"/>
      <c r="Q105" s="10"/>
      <c r="R105" s="10"/>
      <c r="S105" s="10"/>
      <c r="T105" s="10">
        <v>5.25</v>
      </c>
      <c r="U105" s="10"/>
      <c r="V105" s="10"/>
      <c r="W105" s="10"/>
      <c r="X105" s="10">
        <v>23.65</v>
      </c>
      <c r="Y105" s="10">
        <v>1217.99</v>
      </c>
      <c r="Z105" s="10"/>
    </row>
    <row r="106" spans="10:26" x14ac:dyDescent="0.3">
      <c r="L106" s="6" t="str">
        <f>CONCATENATE("MOTOR ",M106," ",Z106, " 7/8 3.8 STG")</f>
        <v>MOTOR 4.75 Sperry 7/8 3.8 STG</v>
      </c>
      <c r="M106" s="11">
        <v>4.75</v>
      </c>
      <c r="N106" s="10">
        <v>2.82</v>
      </c>
      <c r="O106" s="10">
        <v>46.73</v>
      </c>
      <c r="P106" s="10"/>
      <c r="Q106" s="10"/>
      <c r="R106" s="10"/>
      <c r="S106" s="10"/>
      <c r="T106" s="10"/>
      <c r="U106" s="10"/>
      <c r="V106" s="10"/>
      <c r="W106" s="10"/>
      <c r="X106" s="10">
        <v>22.04</v>
      </c>
      <c r="Y106" s="10"/>
      <c r="Z106" s="10" t="s">
        <v>49</v>
      </c>
    </row>
    <row r="107" spans="10:26" x14ac:dyDescent="0.3">
      <c r="L107" s="6" t="str">
        <f>CONCATENATE("MOTOR ",M107," ",Z107)</f>
        <v>MOTOR 5 Sperry</v>
      </c>
      <c r="M107" s="18">
        <v>5</v>
      </c>
      <c r="N107" s="10">
        <v>3.12</v>
      </c>
      <c r="O107" s="10">
        <v>48</v>
      </c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 t="s">
        <v>49</v>
      </c>
    </row>
    <row r="108" spans="10:26" x14ac:dyDescent="0.3">
      <c r="L108" s="6" t="str">
        <f>CONCATENATE("MOTOR ",M108," ",Z108)</f>
        <v>MOTOR 6.75 SLB VORTEX</v>
      </c>
      <c r="M108" s="18">
        <v>6.75</v>
      </c>
      <c r="N108" s="10">
        <v>5.5</v>
      </c>
      <c r="O108" s="10">
        <f>Y108/X108</f>
        <v>98.999036832030839</v>
      </c>
      <c r="P108" s="10"/>
      <c r="Q108" s="10"/>
      <c r="R108" s="10"/>
      <c r="S108" s="10"/>
      <c r="T108" s="10"/>
      <c r="U108" s="10"/>
      <c r="V108" s="10"/>
      <c r="W108" s="10"/>
      <c r="X108" s="10">
        <f>9.5*K111</f>
        <v>31.16798</v>
      </c>
      <c r="Y108" s="10">
        <f>1400*K110</f>
        <v>3085.6000000000004</v>
      </c>
      <c r="Z108" s="10" t="s">
        <v>50</v>
      </c>
    </row>
    <row r="109" spans="10:26" x14ac:dyDescent="0.3">
      <c r="L109" s="6" t="str">
        <f>CONCATENATE("NMDC  ",M109,"in x ",N109,"in  - ",O109, " # ", P109)</f>
        <v xml:space="preserve">NMDC  4.75in x 2.8125in  - 38.75 # </v>
      </c>
      <c r="M109" s="6">
        <v>4.75</v>
      </c>
      <c r="N109" s="6">
        <v>2.8125</v>
      </c>
      <c r="O109" s="7">
        <v>38.75</v>
      </c>
      <c r="P109" s="10"/>
      <c r="Q109" s="10"/>
      <c r="R109" s="10"/>
      <c r="S109" s="10"/>
      <c r="T109" s="10"/>
      <c r="U109" s="10"/>
      <c r="V109" s="10"/>
      <c r="W109" s="10"/>
      <c r="X109" s="10">
        <v>29.99</v>
      </c>
      <c r="Y109" s="10"/>
      <c r="Z109" s="10" t="s">
        <v>49</v>
      </c>
    </row>
    <row r="110" spans="10:26" x14ac:dyDescent="0.3">
      <c r="J110" t="s">
        <v>51</v>
      </c>
      <c r="K110">
        <v>2.2040000000000002</v>
      </c>
      <c r="L110" s="6" t="str">
        <f>CONCATENATE("NMDC  ",M110,"in x ",N110,"in  - ",O110, " # ", P110)</f>
        <v xml:space="preserve">NMDC  8in x 2.8125in  - 149.2 # </v>
      </c>
      <c r="M110" s="10">
        <v>8</v>
      </c>
      <c r="N110" s="10">
        <v>2.8125</v>
      </c>
      <c r="O110" s="10">
        <v>149.19999999999999</v>
      </c>
      <c r="P110" s="10"/>
      <c r="Q110" s="10"/>
      <c r="R110" s="10"/>
      <c r="S110" s="10"/>
      <c r="T110" s="10"/>
      <c r="U110" s="10"/>
      <c r="V110" s="10"/>
      <c r="W110" s="10"/>
      <c r="X110" s="10">
        <v>30.22</v>
      </c>
      <c r="Y110" s="10"/>
      <c r="Z110" s="10" t="s">
        <v>52</v>
      </c>
    </row>
    <row r="111" spans="10:26" x14ac:dyDescent="0.3">
      <c r="J111" t="s">
        <v>53</v>
      </c>
      <c r="K111">
        <v>3.28084</v>
      </c>
      <c r="L111" s="8" t="str">
        <f>CONCATENATE("Reamer DNR ",T111," in")</f>
        <v>Reamer DNR 12.375 in</v>
      </c>
      <c r="M111" s="10">
        <v>8.25</v>
      </c>
      <c r="N111" s="10">
        <v>2.65</v>
      </c>
      <c r="O111" s="10">
        <v>139.30000000000001</v>
      </c>
      <c r="P111" s="10"/>
      <c r="Q111" s="10"/>
      <c r="R111" s="10"/>
      <c r="S111" s="10"/>
      <c r="T111" s="10">
        <v>12.375</v>
      </c>
      <c r="U111" s="10"/>
      <c r="V111" s="10"/>
      <c r="W111" s="10"/>
      <c r="X111" s="10"/>
      <c r="Y111" s="10"/>
      <c r="Z111" s="10"/>
    </row>
    <row r="112" spans="10:26" x14ac:dyDescent="0.3">
      <c r="L112" s="8" t="str">
        <f>CONCATENATE("Reamer VREAM ",T112," in")</f>
        <v>Reamer VREAM 8.5625 in</v>
      </c>
      <c r="M112" s="10">
        <v>6.625</v>
      </c>
      <c r="N112" s="10">
        <v>3</v>
      </c>
      <c r="O112" s="10"/>
      <c r="P112" s="10"/>
      <c r="Q112" s="10"/>
      <c r="R112" s="10"/>
      <c r="S112" s="10"/>
      <c r="T112" s="10">
        <v>8.5625</v>
      </c>
      <c r="U112" s="10"/>
      <c r="V112" s="10"/>
      <c r="W112" s="10"/>
      <c r="X112" s="10"/>
      <c r="Y112" s="10"/>
      <c r="Z112" s="10"/>
    </row>
    <row r="113" spans="12:26" x14ac:dyDescent="0.3">
      <c r="L113" s="8" t="str">
        <f>CONCATENATE("Roller Rmr BRX ",T113," in")</f>
        <v>Roller Rmr BRX 16 in</v>
      </c>
      <c r="M113" s="10">
        <v>9.5</v>
      </c>
      <c r="N113" s="10">
        <v>3</v>
      </c>
      <c r="O113" s="11">
        <f>ROUND(Y113/X113,2)</f>
        <v>257.68</v>
      </c>
      <c r="P113" s="10"/>
      <c r="Q113" s="10"/>
      <c r="R113" s="10"/>
      <c r="S113" s="10"/>
      <c r="T113" s="10">
        <v>16</v>
      </c>
      <c r="U113" s="10"/>
      <c r="V113" s="10"/>
      <c r="W113" s="10"/>
      <c r="X113" s="11">
        <f>112/12</f>
        <v>9.3333333333333339</v>
      </c>
      <c r="Y113" s="10">
        <v>2405</v>
      </c>
      <c r="Z113" s="10" t="s">
        <v>54</v>
      </c>
    </row>
    <row r="114" spans="12:26" x14ac:dyDescent="0.3">
      <c r="L114" s="8" t="str">
        <f>CONCATENATE("Roller Rmr BRX ",T114," in")</f>
        <v>Roller Rmr BRX 22 in</v>
      </c>
      <c r="M114" s="10">
        <v>9.5</v>
      </c>
      <c r="N114" s="10">
        <v>3</v>
      </c>
      <c r="O114" s="11">
        <f>ROUND((Y114/X114),2)</f>
        <v>465.52</v>
      </c>
      <c r="P114" s="10"/>
      <c r="Q114" s="10"/>
      <c r="R114" s="10"/>
      <c r="S114" s="10"/>
      <c r="T114" s="10">
        <v>22</v>
      </c>
      <c r="U114" s="10"/>
      <c r="V114" s="10"/>
      <c r="W114" s="10"/>
      <c r="X114" s="11">
        <f>116/12</f>
        <v>9.6666666666666661</v>
      </c>
      <c r="Y114" s="10">
        <v>4500</v>
      </c>
      <c r="Z114" s="10" t="s">
        <v>54</v>
      </c>
    </row>
    <row r="115" spans="12:26" x14ac:dyDescent="0.3">
      <c r="L115" s="8" t="s">
        <v>55</v>
      </c>
      <c r="M115" s="10">
        <v>4.75</v>
      </c>
      <c r="N115" s="10">
        <v>1.25</v>
      </c>
      <c r="O115" s="10">
        <v>63.03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2:26" x14ac:dyDescent="0.3">
      <c r="L116" s="8" t="s">
        <v>56</v>
      </c>
      <c r="M116" s="10">
        <v>7.625</v>
      </c>
      <c r="N116" s="10">
        <v>1.49</v>
      </c>
      <c r="O116" s="10">
        <v>114</v>
      </c>
      <c r="P116" s="10"/>
      <c r="Q116" s="10"/>
      <c r="R116" s="10"/>
      <c r="S116" s="10"/>
      <c r="T116" s="10"/>
      <c r="U116" s="10"/>
      <c r="V116" s="10"/>
      <c r="W116" s="10"/>
      <c r="X116" s="10">
        <v>23.23</v>
      </c>
      <c r="Y116" s="10"/>
      <c r="Z116" s="10"/>
    </row>
    <row r="117" spans="12:26" x14ac:dyDescent="0.3">
      <c r="L117" s="8" t="s">
        <v>57</v>
      </c>
      <c r="M117" s="10">
        <v>9</v>
      </c>
      <c r="N117" s="10">
        <v>5.125</v>
      </c>
      <c r="O117" s="10">
        <v>182.5</v>
      </c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2:26" x14ac:dyDescent="0.3">
      <c r="L118" s="8" t="s">
        <v>58</v>
      </c>
      <c r="M118" s="10">
        <v>4.9800000000000004</v>
      </c>
      <c r="N118" s="10">
        <v>3.64</v>
      </c>
      <c r="O118" s="11">
        <f>ROUND((Y118/X118),2)</f>
        <v>49.82</v>
      </c>
      <c r="P118" s="10"/>
      <c r="Q118" s="10"/>
      <c r="R118" s="10"/>
      <c r="S118" s="10"/>
      <c r="T118" s="10">
        <v>6</v>
      </c>
      <c r="U118" s="10"/>
      <c r="V118" s="10"/>
      <c r="W118" s="10"/>
      <c r="X118" s="10">
        <v>22.05</v>
      </c>
      <c r="Y118" s="10">
        <v>1098.46</v>
      </c>
      <c r="Z118" s="10" t="s">
        <v>52</v>
      </c>
    </row>
    <row r="119" spans="12:26" x14ac:dyDescent="0.3">
      <c r="L119" s="8" t="s">
        <v>59</v>
      </c>
      <c r="M119" s="10">
        <v>6.75</v>
      </c>
      <c r="N119" s="10">
        <v>2.8130000000000002</v>
      </c>
      <c r="O119" s="11">
        <v>100</v>
      </c>
      <c r="P119" s="10"/>
      <c r="Q119" s="10"/>
      <c r="R119" s="10"/>
      <c r="S119" s="10"/>
      <c r="T119" s="10">
        <v>8.375</v>
      </c>
      <c r="U119" s="10"/>
      <c r="V119" s="10"/>
      <c r="W119" s="10"/>
      <c r="X119" s="10">
        <f>4.12*K111</f>
        <v>13.517060799999999</v>
      </c>
      <c r="Y119" s="10"/>
      <c r="Z119" s="10" t="s">
        <v>52</v>
      </c>
    </row>
    <row r="120" spans="12:26" x14ac:dyDescent="0.3">
      <c r="L120" s="6" t="str">
        <f>CONCATENATE("RT  ", Z120, " ",M120, "in - ",O120, " # ")</f>
        <v xml:space="preserve">RT   6.5in - 89.9 # </v>
      </c>
      <c r="M120" s="10">
        <v>6.5</v>
      </c>
      <c r="N120" s="10">
        <v>3</v>
      </c>
      <c r="O120" s="18">
        <v>89.9</v>
      </c>
      <c r="P120" s="10"/>
      <c r="Q120" s="10"/>
      <c r="R120" s="10"/>
      <c r="S120" s="10"/>
      <c r="T120" s="10"/>
      <c r="U120" s="10"/>
      <c r="V120" s="10"/>
      <c r="W120" s="10"/>
      <c r="X120" s="10">
        <f>1.27*3.28084</f>
        <v>4.1666667999999998</v>
      </c>
      <c r="Y120" s="18">
        <f>0.17*2204.6226</f>
        <v>374.78584200000006</v>
      </c>
      <c r="Z120" s="10"/>
    </row>
    <row r="121" spans="12:26" x14ac:dyDescent="0.3">
      <c r="L121" s="6" t="str">
        <f t="shared" ref="L121:L129" si="9">CONCATENATE("SHOCK  ", Z121, " ",M121, "in - ",O121, " # ")</f>
        <v xml:space="preserve">SHOCK  Unk 12in - 393.3 # </v>
      </c>
      <c r="M121" s="10">
        <v>12</v>
      </c>
      <c r="N121" s="10">
        <v>3</v>
      </c>
      <c r="O121" s="18">
        <f t="shared" ref="O121:O135" si="10">ROUND((Y121/X121),1)</f>
        <v>393.3</v>
      </c>
      <c r="P121" s="10"/>
      <c r="Q121" s="10"/>
      <c r="R121" s="10"/>
      <c r="S121" s="10"/>
      <c r="T121" s="10"/>
      <c r="U121" s="10"/>
      <c r="V121" s="10"/>
      <c r="W121" s="10"/>
      <c r="X121" s="10">
        <v>8.9</v>
      </c>
      <c r="Y121" s="10">
        <v>3500</v>
      </c>
      <c r="Z121" s="10" t="s">
        <v>60</v>
      </c>
    </row>
    <row r="122" spans="12:26" x14ac:dyDescent="0.3">
      <c r="L122" s="6" t="str">
        <f t="shared" si="9"/>
        <v xml:space="preserve">SHOCK  Smith 12in - 326.1 # </v>
      </c>
      <c r="M122" s="10">
        <v>12</v>
      </c>
      <c r="N122" s="10">
        <v>3.25</v>
      </c>
      <c r="O122" s="18">
        <f t="shared" si="10"/>
        <v>326.10000000000002</v>
      </c>
      <c r="P122" s="10"/>
      <c r="Q122" s="10"/>
      <c r="R122" s="10"/>
      <c r="S122" s="10"/>
      <c r="T122" s="10"/>
      <c r="U122" s="10"/>
      <c r="V122" s="10"/>
      <c r="W122" s="10"/>
      <c r="X122" s="10">
        <v>13.8</v>
      </c>
      <c r="Y122" s="10">
        <v>4500</v>
      </c>
      <c r="Z122" s="10" t="s">
        <v>21</v>
      </c>
    </row>
    <row r="123" spans="12:26" x14ac:dyDescent="0.3">
      <c r="L123" s="6" t="str">
        <f t="shared" si="9"/>
        <v xml:space="preserve">SHOCK  Smith 14in - 433.6 # </v>
      </c>
      <c r="M123" s="10">
        <v>14</v>
      </c>
      <c r="N123" s="10">
        <v>3.25</v>
      </c>
      <c r="O123" s="18">
        <f t="shared" si="10"/>
        <v>433.6</v>
      </c>
      <c r="P123" s="10"/>
      <c r="Q123" s="10"/>
      <c r="R123" s="10"/>
      <c r="S123" s="10"/>
      <c r="T123" s="10"/>
      <c r="U123" s="10"/>
      <c r="V123" s="10"/>
      <c r="W123" s="10"/>
      <c r="X123" s="10">
        <v>14.3</v>
      </c>
      <c r="Y123" s="10">
        <v>6200</v>
      </c>
      <c r="Z123" s="10" t="s">
        <v>21</v>
      </c>
    </row>
    <row r="124" spans="12:26" x14ac:dyDescent="0.3">
      <c r="L124" s="6" t="str">
        <f t="shared" si="9"/>
        <v xml:space="preserve">SHOCK  Smith 4.25in - 52.2 # </v>
      </c>
      <c r="M124" s="10">
        <v>4.25</v>
      </c>
      <c r="N124" s="10">
        <v>1.75</v>
      </c>
      <c r="O124" s="18">
        <f t="shared" si="10"/>
        <v>52.2</v>
      </c>
      <c r="P124" s="10"/>
      <c r="Q124" s="10"/>
      <c r="R124" s="10"/>
      <c r="S124" s="10"/>
      <c r="T124" s="10"/>
      <c r="U124" s="10"/>
      <c r="V124" s="10"/>
      <c r="W124" s="10"/>
      <c r="X124" s="10">
        <v>11.5</v>
      </c>
      <c r="Y124" s="10">
        <v>600</v>
      </c>
      <c r="Z124" s="10" t="s">
        <v>21</v>
      </c>
    </row>
    <row r="125" spans="12:26" x14ac:dyDescent="0.3">
      <c r="L125" s="6" t="str">
        <f t="shared" si="9"/>
        <v xml:space="preserve">SHOCK  Smith 5in - 69.6 # </v>
      </c>
      <c r="M125" s="10">
        <v>5</v>
      </c>
      <c r="N125" s="10">
        <v>1.75</v>
      </c>
      <c r="O125" s="18">
        <f t="shared" si="10"/>
        <v>69.599999999999994</v>
      </c>
      <c r="P125" s="10"/>
      <c r="Q125" s="10"/>
      <c r="R125" s="10"/>
      <c r="S125" s="10"/>
      <c r="T125" s="10"/>
      <c r="U125" s="10"/>
      <c r="V125" s="10"/>
      <c r="W125" s="10"/>
      <c r="X125" s="10">
        <v>11.5</v>
      </c>
      <c r="Y125" s="10">
        <v>800</v>
      </c>
      <c r="Z125" s="10" t="s">
        <v>21</v>
      </c>
    </row>
    <row r="126" spans="12:26" x14ac:dyDescent="0.3">
      <c r="L126" s="6" t="str">
        <f t="shared" si="9"/>
        <v xml:space="preserve">SHOCK  Smith 6.5in - 108.3 # </v>
      </c>
      <c r="M126" s="10">
        <v>6.5</v>
      </c>
      <c r="N126" s="10">
        <v>2.25</v>
      </c>
      <c r="O126" s="18">
        <f t="shared" si="10"/>
        <v>108.3</v>
      </c>
      <c r="P126" s="10"/>
      <c r="Q126" s="10"/>
      <c r="R126" s="10"/>
      <c r="S126" s="10"/>
      <c r="T126" s="10"/>
      <c r="U126" s="10"/>
      <c r="V126" s="10"/>
      <c r="W126" s="10"/>
      <c r="X126" s="10">
        <v>12</v>
      </c>
      <c r="Y126" s="10">
        <v>1300</v>
      </c>
      <c r="Z126" s="10" t="s">
        <v>21</v>
      </c>
    </row>
    <row r="127" spans="12:26" x14ac:dyDescent="0.3">
      <c r="L127" s="6" t="str">
        <f t="shared" si="9"/>
        <v xml:space="preserve">SHOCK  Smith 8in - 133.3 # </v>
      </c>
      <c r="M127" s="10">
        <v>8</v>
      </c>
      <c r="N127" s="10">
        <v>3</v>
      </c>
      <c r="O127" s="18">
        <f t="shared" si="10"/>
        <v>133.30000000000001</v>
      </c>
      <c r="P127" s="10"/>
      <c r="Q127" s="10"/>
      <c r="R127" s="10"/>
      <c r="S127" s="10"/>
      <c r="T127" s="10"/>
      <c r="U127" s="10"/>
      <c r="V127" s="10"/>
      <c r="W127" s="10"/>
      <c r="X127" s="10">
        <v>13.5</v>
      </c>
      <c r="Y127" s="10">
        <v>1800</v>
      </c>
      <c r="Z127" s="10" t="s">
        <v>21</v>
      </c>
    </row>
    <row r="128" spans="12:26" x14ac:dyDescent="0.3">
      <c r="L128" s="6" t="str">
        <f t="shared" si="9"/>
        <v xml:space="preserve">SHOCK  Smith 9.5in - 200 # </v>
      </c>
      <c r="M128" s="10">
        <v>9.5</v>
      </c>
      <c r="N128" s="10">
        <v>3</v>
      </c>
      <c r="O128" s="18">
        <f t="shared" si="10"/>
        <v>200</v>
      </c>
      <c r="P128" s="10"/>
      <c r="Q128" s="10"/>
      <c r="R128" s="10"/>
      <c r="S128" s="10"/>
      <c r="T128" s="10"/>
      <c r="U128" s="10"/>
      <c r="V128" s="10"/>
      <c r="W128" s="10"/>
      <c r="X128" s="10">
        <v>13.5</v>
      </c>
      <c r="Y128" s="10">
        <v>2700</v>
      </c>
      <c r="Z128" s="10" t="s">
        <v>21</v>
      </c>
    </row>
    <row r="129" spans="12:26" x14ac:dyDescent="0.3">
      <c r="L129" s="6" t="str">
        <f t="shared" si="9"/>
        <v xml:space="preserve">SHOCK  Cougar 11in - 345.4 # </v>
      </c>
      <c r="M129" s="10">
        <v>11</v>
      </c>
      <c r="N129" s="10">
        <v>3</v>
      </c>
      <c r="O129" s="18">
        <f t="shared" si="10"/>
        <v>345.4</v>
      </c>
      <c r="P129" s="10"/>
      <c r="Q129" s="10"/>
      <c r="R129" s="10"/>
      <c r="S129" s="10"/>
      <c r="T129" s="10"/>
      <c r="U129" s="10"/>
      <c r="V129" s="10"/>
      <c r="W129" s="10"/>
      <c r="X129" s="10">
        <v>14.33</v>
      </c>
      <c r="Y129" s="10">
        <v>4950</v>
      </c>
      <c r="Z129" s="10" t="s">
        <v>61</v>
      </c>
    </row>
    <row r="130" spans="12:26" x14ac:dyDescent="0.3">
      <c r="L130" s="6" t="str">
        <f>CONCATENATE("STB  ",U130," ", T130," in. HS ",M130,"in x ",N130,"in  - ",O130, " # ", P97)</f>
        <v xml:space="preserve">STB   12.25 in. HS 8in x in  - 245 # </v>
      </c>
      <c r="M130" s="10">
        <v>8</v>
      </c>
      <c r="N130" s="10"/>
      <c r="O130" s="10">
        <f t="shared" si="10"/>
        <v>245</v>
      </c>
      <c r="P130" s="10"/>
      <c r="Q130" s="10"/>
      <c r="R130" s="10"/>
      <c r="S130" s="10"/>
      <c r="T130" s="10">
        <v>12.25</v>
      </c>
      <c r="U130" s="10"/>
      <c r="V130" s="10"/>
      <c r="W130" s="10"/>
      <c r="X130" s="10">
        <v>6.75</v>
      </c>
      <c r="Y130" s="10">
        <v>1653.4649999999999</v>
      </c>
      <c r="Z130" s="10"/>
    </row>
    <row r="131" spans="12:26" x14ac:dyDescent="0.3">
      <c r="L131" s="6" t="str">
        <f>CONCATENATE("STB  ",U131," ", T131," in. HS ",M131,"in x ",N131,"in  - ",O131, " # ", P115)</f>
        <v xml:space="preserve">STB   12.25 in. HS 9.5in x 2.813in  - 171.7 # </v>
      </c>
      <c r="M131" s="10">
        <v>9.5</v>
      </c>
      <c r="N131" s="10">
        <v>2.8130000000000002</v>
      </c>
      <c r="O131" s="10">
        <f t="shared" si="10"/>
        <v>171.7</v>
      </c>
      <c r="P131" s="10"/>
      <c r="Q131" s="10"/>
      <c r="R131" s="10"/>
      <c r="S131" s="10"/>
      <c r="T131" s="10">
        <v>12.25</v>
      </c>
      <c r="U131" s="10"/>
      <c r="V131" s="10" t="s">
        <v>62</v>
      </c>
      <c r="W131" s="10"/>
      <c r="X131" s="10">
        <v>6.99</v>
      </c>
      <c r="Y131" s="10">
        <v>1200</v>
      </c>
      <c r="Z131" s="10" t="s">
        <v>61</v>
      </c>
    </row>
    <row r="132" spans="12:26" x14ac:dyDescent="0.3">
      <c r="L132" s="6" t="str">
        <f>CONCATENATE("STB  ",U132," ", T132," in. HS ",M132,"in x ",N132,"in  - ",O132, " # ", P99)</f>
        <v xml:space="preserve">STB   12.25 in. HS 9.5in x in  - 185.2 # </v>
      </c>
      <c r="M132" s="10">
        <v>9.5</v>
      </c>
      <c r="N132" s="10"/>
      <c r="O132" s="10">
        <f t="shared" si="10"/>
        <v>185.2</v>
      </c>
      <c r="P132" s="10"/>
      <c r="Q132" s="10"/>
      <c r="R132" s="10"/>
      <c r="S132" s="10"/>
      <c r="T132" s="10">
        <v>12.25</v>
      </c>
      <c r="U132" s="10"/>
      <c r="V132" s="10" t="s">
        <v>62</v>
      </c>
      <c r="W132" s="10"/>
      <c r="X132" s="10">
        <v>7</v>
      </c>
      <c r="Y132" s="10">
        <v>1296.31656</v>
      </c>
      <c r="Z132" s="10" t="s">
        <v>63</v>
      </c>
    </row>
    <row r="133" spans="12:26" x14ac:dyDescent="0.3">
      <c r="L133" s="6" t="str">
        <f>CONCATENATE("STB  ",U133," ", T133," in. HS ",M133,"in x ",N133,"in  - ",O133, " # ", P100)</f>
        <v xml:space="preserve">STB   16 in. HS 9.5in x in  - 293.9 # </v>
      </c>
      <c r="M133" s="10">
        <v>9.5</v>
      </c>
      <c r="N133" s="10"/>
      <c r="O133" s="10">
        <f t="shared" si="10"/>
        <v>293.89999999999998</v>
      </c>
      <c r="P133" s="10"/>
      <c r="Q133" s="10"/>
      <c r="R133" s="10"/>
      <c r="S133" s="10"/>
      <c r="T133" s="10">
        <v>16</v>
      </c>
      <c r="U133" s="10"/>
      <c r="V133" s="10"/>
      <c r="W133" s="10"/>
      <c r="X133" s="10">
        <v>7.5</v>
      </c>
      <c r="Y133" s="10">
        <v>2204.62</v>
      </c>
      <c r="Z133" s="10"/>
    </row>
    <row r="134" spans="12:26" x14ac:dyDescent="0.3">
      <c r="L134" s="6" t="str">
        <f>CONCATENATE("STB  ",U134," ", T134," in. HS ",M134,"in x ",N134,"in  - ",O134, " # ", P111)</f>
        <v xml:space="preserve">STB   16 in. HS 9.5in x in  - 337 # </v>
      </c>
      <c r="M134" s="10">
        <v>9.5</v>
      </c>
      <c r="N134" s="10"/>
      <c r="O134" s="10">
        <f t="shared" si="10"/>
        <v>337</v>
      </c>
      <c r="P134" s="10"/>
      <c r="Q134" s="10"/>
      <c r="R134" s="10"/>
      <c r="S134" s="10"/>
      <c r="T134" s="10">
        <v>16</v>
      </c>
      <c r="U134" s="10"/>
      <c r="V134" s="10" t="s">
        <v>62</v>
      </c>
      <c r="W134" s="10"/>
      <c r="X134" s="10">
        <v>7</v>
      </c>
      <c r="Y134" s="10">
        <v>2358.9433999999997</v>
      </c>
      <c r="Z134" s="10" t="s">
        <v>63</v>
      </c>
    </row>
    <row r="135" spans="12:26" x14ac:dyDescent="0.3">
      <c r="L135" s="6" t="str">
        <f>CONCATENATE("STB  ",U135," ", T135," in. HS ",M135,"in x ",N135,"in  - ",O135, " # ", P115)</f>
        <v xml:space="preserve">STB   24 in. HS 9.5in x in  - 486.9 # </v>
      </c>
      <c r="M135" s="10">
        <v>9.5</v>
      </c>
      <c r="N135" s="10"/>
      <c r="O135" s="10">
        <f t="shared" si="10"/>
        <v>486.9</v>
      </c>
      <c r="P135" s="10"/>
      <c r="Q135" s="10"/>
      <c r="R135" s="10"/>
      <c r="S135" s="10"/>
      <c r="T135" s="10">
        <v>24</v>
      </c>
      <c r="U135" s="10"/>
      <c r="V135" s="10"/>
      <c r="W135" s="10"/>
      <c r="X135" s="10">
        <v>8.15</v>
      </c>
      <c r="Y135" s="10">
        <v>3968.3159999999998</v>
      </c>
      <c r="Z135" s="10"/>
    </row>
    <row r="136" spans="12:26" x14ac:dyDescent="0.3">
      <c r="L136" s="6" t="str">
        <f>CONCATENATE("STB  ",U136," ", T136," in. HS ",M136,"in x ",N136,"in  - ",O136, " # ", P115)</f>
        <v xml:space="preserve">STB   36 in. HS in x in  -  # </v>
      </c>
      <c r="M136" s="10"/>
      <c r="N136" s="10"/>
      <c r="O136" s="10"/>
      <c r="P136" s="10"/>
      <c r="Q136" s="10"/>
      <c r="R136" s="10"/>
      <c r="S136" s="10"/>
      <c r="T136" s="10">
        <v>36</v>
      </c>
      <c r="U136" s="10"/>
      <c r="V136" s="10" t="s">
        <v>64</v>
      </c>
      <c r="W136" s="10"/>
      <c r="X136" s="10"/>
      <c r="Y136" s="10">
        <v>4629.7019999999993</v>
      </c>
      <c r="Z136" s="10" t="s">
        <v>63</v>
      </c>
    </row>
    <row r="137" spans="12:26" x14ac:dyDescent="0.3">
      <c r="L137" s="6" t="str">
        <f>CONCATENATE("STB  ",U137," ", T137," in. HS ",M137,"in x ",N137,"in  - ",O137, " # ", P122)</f>
        <v xml:space="preserve">STB   5.875 in. HS 4.75in x 2.8125in  - 39.21 # </v>
      </c>
      <c r="M137" s="10">
        <v>4.75</v>
      </c>
      <c r="N137" s="10">
        <v>2.8125</v>
      </c>
      <c r="O137" s="10">
        <v>39.21</v>
      </c>
      <c r="P137" s="10"/>
      <c r="Q137" s="10"/>
      <c r="R137" s="10"/>
      <c r="S137" s="10"/>
      <c r="T137" s="10">
        <v>5.875</v>
      </c>
      <c r="U137" s="10"/>
      <c r="V137" s="10" t="s">
        <v>62</v>
      </c>
      <c r="W137" s="10"/>
      <c r="X137" s="10"/>
      <c r="Y137" s="10"/>
      <c r="Z137" s="10"/>
    </row>
    <row r="138" spans="12:26" x14ac:dyDescent="0.3">
      <c r="L138" s="6" t="str">
        <f>CONCATENATE("STB  ",U138," ", T138," in. HS ",M138,"in x ",N138,"in  - ",O138, " # ", P123)</f>
        <v xml:space="preserve">STB   5.875 in. HS 4.75in x 2in  - 194.3 # </v>
      </c>
      <c r="M138" s="10">
        <v>4.75</v>
      </c>
      <c r="N138" s="10">
        <v>2</v>
      </c>
      <c r="O138" s="10">
        <f>ROUND((Y138/X138),2)</f>
        <v>194.3</v>
      </c>
      <c r="P138" s="10"/>
      <c r="Q138" s="10"/>
      <c r="R138" s="10"/>
      <c r="S138" s="10"/>
      <c r="T138" s="10">
        <v>5.875</v>
      </c>
      <c r="U138" s="10"/>
      <c r="V138" s="10"/>
      <c r="W138" s="10"/>
      <c r="X138" s="10">
        <v>5.81</v>
      </c>
      <c r="Y138" s="10">
        <v>1128.9000000000001</v>
      </c>
      <c r="Z138" s="10" t="s">
        <v>52</v>
      </c>
    </row>
    <row r="139" spans="12:26" x14ac:dyDescent="0.3">
      <c r="L139" s="6" t="str">
        <f>CONCATENATE("STB  ",U139," ", T139," in. HS ",M139,"in x ",N139,"in  - ",O139, " # ", P127)</f>
        <v xml:space="preserve">STB   6 in. HS 4.75in x 2.25in  - 33.3 # </v>
      </c>
      <c r="M139" s="10">
        <v>4.75</v>
      </c>
      <c r="N139" s="10">
        <v>2.25</v>
      </c>
      <c r="O139" s="10">
        <f>ROUND((Y139/X139),1)</f>
        <v>33.299999999999997</v>
      </c>
      <c r="P139" s="10"/>
      <c r="Q139" s="10"/>
      <c r="R139" s="10"/>
      <c r="S139" s="10"/>
      <c r="T139" s="10">
        <v>6</v>
      </c>
      <c r="U139" s="10"/>
      <c r="V139" s="10"/>
      <c r="W139" s="10"/>
      <c r="X139" s="10">
        <v>6</v>
      </c>
      <c r="Y139" s="10">
        <v>200</v>
      </c>
      <c r="Z139" s="10" t="s">
        <v>61</v>
      </c>
    </row>
    <row r="140" spans="12:26" x14ac:dyDescent="0.3">
      <c r="L140" s="6" t="str">
        <f>CONCATENATE("STB  ",U140," ", T140," in. HS ",M140,"in x ",N140,"in  - ",O140, " # ", P124)</f>
        <v xml:space="preserve">STB   6 in. HS 4.75in x in  - 53.3 # </v>
      </c>
      <c r="M140" s="10">
        <v>4.75</v>
      </c>
      <c r="N140" s="10"/>
      <c r="O140" s="10">
        <f>ROUND((Y140/X140),1)</f>
        <v>53.3</v>
      </c>
      <c r="P140" s="10"/>
      <c r="Q140" s="10"/>
      <c r="R140" s="10"/>
      <c r="S140" s="10"/>
      <c r="T140" s="10">
        <v>6</v>
      </c>
      <c r="U140" s="10"/>
      <c r="V140" s="10"/>
      <c r="W140" s="10"/>
      <c r="X140" s="10">
        <v>6</v>
      </c>
      <c r="Y140" s="10">
        <v>319.66989999999998</v>
      </c>
      <c r="Z140" s="10" t="s">
        <v>63</v>
      </c>
    </row>
    <row r="141" spans="12:26" x14ac:dyDescent="0.3">
      <c r="L141" s="6" t="str">
        <f>CONCATENATE("STB  ",U141," ", T141," in. HS ",M141,"in x ",N141,"in  - ",O141, " # ", P125)</f>
        <v xml:space="preserve">STB   6 in. HS 4.75in x in  - 58.8 # </v>
      </c>
      <c r="M141" s="10">
        <v>4.75</v>
      </c>
      <c r="N141" s="10"/>
      <c r="O141" s="10">
        <f>ROUND((Y141/X141),1)</f>
        <v>58.8</v>
      </c>
      <c r="P141" s="10"/>
      <c r="Q141" s="10"/>
      <c r="R141" s="10"/>
      <c r="S141" s="10"/>
      <c r="T141" s="10">
        <v>6</v>
      </c>
      <c r="U141" s="10"/>
      <c r="V141" s="10"/>
      <c r="W141" s="10"/>
      <c r="X141" s="10">
        <v>6</v>
      </c>
      <c r="Y141" s="10">
        <v>352.73919999999998</v>
      </c>
      <c r="Z141" s="10"/>
    </row>
    <row r="142" spans="12:26" x14ac:dyDescent="0.3">
      <c r="L142" s="6" t="str">
        <f>CONCATENATE("STB  ", U142," ", T142," in. HS ",M142,"in x ",N142,"in  - ",O142, " # ", P125)</f>
        <v xml:space="preserve">STB   6.0625 in. HS 4.75in x 2.25in  - 46.84 # </v>
      </c>
      <c r="M142" s="10">
        <v>4.75</v>
      </c>
      <c r="N142" s="10">
        <v>2.25</v>
      </c>
      <c r="O142" s="10">
        <v>46.84</v>
      </c>
      <c r="P142" s="10"/>
      <c r="Q142" s="10"/>
      <c r="R142" s="10"/>
      <c r="S142" s="10"/>
      <c r="T142" s="10">
        <v>6.0625</v>
      </c>
      <c r="U142" s="10"/>
      <c r="V142" s="10"/>
      <c r="W142" s="10"/>
      <c r="X142" s="10"/>
      <c r="Y142" s="10"/>
      <c r="Z142" s="10"/>
    </row>
    <row r="143" spans="12:26" x14ac:dyDescent="0.3">
      <c r="L143" s="6" t="str">
        <f>CONCATENATE("STB  ", U142," ", T143," in. HS ",M143,"in x ",N143,"in  - ",O143, " # ", P126)</f>
        <v xml:space="preserve">STB   6.125 in. HS 4.75in x 2.25in  - 47.1 # </v>
      </c>
      <c r="M143" s="10">
        <v>4.75</v>
      </c>
      <c r="N143" s="10">
        <v>2.25</v>
      </c>
      <c r="O143" s="10">
        <v>47.1</v>
      </c>
      <c r="P143" s="10"/>
      <c r="Q143" s="10"/>
      <c r="R143" s="10"/>
      <c r="S143" s="10"/>
      <c r="T143" s="10">
        <v>6.125</v>
      </c>
      <c r="U143" s="10"/>
      <c r="V143" s="10" t="s">
        <v>62</v>
      </c>
      <c r="W143" s="10"/>
      <c r="X143" s="10">
        <v>6</v>
      </c>
      <c r="Y143" s="10">
        <v>330.69299999999998</v>
      </c>
      <c r="Z143" s="10" t="s">
        <v>63</v>
      </c>
    </row>
    <row r="144" spans="12:26" x14ac:dyDescent="0.3">
      <c r="L144" s="6" t="str">
        <f>CONCATENATE("STB  ",U143," ", T144," in. HS ",M144,"in x ",N144,"in  - ",O144, " # ", P127)</f>
        <v xml:space="preserve">STB   6.5 in. HS 4.75in x in  - 55.1 # </v>
      </c>
      <c r="M144" s="10">
        <v>4.75</v>
      </c>
      <c r="N144" s="10"/>
      <c r="O144" s="10">
        <f>ROUND((Y143/X143),1)</f>
        <v>55.1</v>
      </c>
      <c r="P144" s="10"/>
      <c r="Q144" s="10"/>
      <c r="R144" s="10"/>
      <c r="S144" s="10"/>
      <c r="T144" s="10">
        <v>6.5</v>
      </c>
      <c r="U144" s="10"/>
      <c r="V144" s="10"/>
      <c r="W144" s="10"/>
      <c r="X144" s="10"/>
      <c r="Y144" s="10"/>
      <c r="Z144" s="10"/>
    </row>
    <row r="145" spans="12:26" x14ac:dyDescent="0.3">
      <c r="L145" s="6" t="str">
        <f>CONCATENATE("STB  ",U144," ", T145," in. HS ",M145,"in x ",N145,"in  - ",O145, " # ", P133)</f>
        <v xml:space="preserve">STB   7.75 in. HS 6.75in x 2.875in  - 99.83 # </v>
      </c>
      <c r="M145" s="10">
        <v>6.75</v>
      </c>
      <c r="N145" s="10">
        <v>2.875</v>
      </c>
      <c r="O145" s="10">
        <v>99.83</v>
      </c>
      <c r="P145" s="10"/>
      <c r="Q145" s="10"/>
      <c r="R145" s="10"/>
      <c r="S145" s="10"/>
      <c r="T145" s="10">
        <v>7.75</v>
      </c>
      <c r="U145" s="10"/>
      <c r="V145" s="10"/>
      <c r="W145" s="10"/>
      <c r="X145" s="10"/>
      <c r="Y145" s="10"/>
      <c r="Z145" s="10"/>
    </row>
    <row r="146" spans="12:26" x14ac:dyDescent="0.3">
      <c r="L146" s="6" t="str">
        <f>CONCATENATE("STB  ",U145," ", T146," in. HS ",M146,"in x ",N146,"in  - ",O146, " # ", P134)</f>
        <v xml:space="preserve">STB   8.375 in. HS 6.75in x 2in  - 111.25 # </v>
      </c>
      <c r="M146" s="10">
        <v>6.75</v>
      </c>
      <c r="N146" s="10">
        <v>2</v>
      </c>
      <c r="O146" s="10">
        <v>111.25</v>
      </c>
      <c r="P146" s="10"/>
      <c r="Q146" s="10"/>
      <c r="R146" s="10"/>
      <c r="S146" s="10"/>
      <c r="T146" s="10">
        <v>8.375</v>
      </c>
      <c r="U146" s="10"/>
      <c r="V146" s="10" t="s">
        <v>62</v>
      </c>
      <c r="W146" s="10"/>
      <c r="X146" s="10">
        <v>6</v>
      </c>
      <c r="Y146" s="10">
        <v>749.57079999999996</v>
      </c>
      <c r="Z146" s="10" t="s">
        <v>65</v>
      </c>
    </row>
    <row r="147" spans="12:26" x14ac:dyDescent="0.3">
      <c r="L147" s="6" t="str">
        <f>CONCATENATE("STB  ",U146," ", T147," in. HS ",M147,"in x ",N147,"in  - ",O147, " # ", P131)</f>
        <v xml:space="preserve">STB   8.5 in. HS 6.5in x 2.813in  - 124.9 # </v>
      </c>
      <c r="M147" s="10">
        <v>6.5</v>
      </c>
      <c r="N147" s="10">
        <v>2.8130000000000002</v>
      </c>
      <c r="O147" s="10">
        <f>ROUND((Y146/X146),1)</f>
        <v>124.9</v>
      </c>
      <c r="P147" s="10"/>
      <c r="Q147" s="10"/>
      <c r="R147" s="10"/>
      <c r="S147" s="10"/>
      <c r="T147" s="10">
        <v>8.5</v>
      </c>
      <c r="U147" s="10"/>
      <c r="V147" s="10"/>
      <c r="W147" s="10"/>
      <c r="X147" s="10">
        <v>6</v>
      </c>
      <c r="Y147" s="10">
        <v>410</v>
      </c>
      <c r="Z147" s="10" t="s">
        <v>61</v>
      </c>
    </row>
    <row r="148" spans="12:26" x14ac:dyDescent="0.3">
      <c r="L148" s="6" t="str">
        <f>CONCATENATE("STB  ",U147," ", T148," in. HS ",M148,"in x ",N148,"in  - ",O148, " # ", P136)</f>
        <v xml:space="preserve">STB   8.5 in. HS 6.5in x 2.813in  - 68.3 # </v>
      </c>
      <c r="M148" s="10">
        <v>6.5</v>
      </c>
      <c r="N148" s="10">
        <v>2.8130000000000002</v>
      </c>
      <c r="O148" s="10">
        <f>ROUND((Y147/X147),1)</f>
        <v>68.3</v>
      </c>
      <c r="P148" s="10"/>
      <c r="Q148" s="10"/>
      <c r="R148" s="10"/>
      <c r="S148" s="10"/>
      <c r="T148" s="10">
        <v>8.5</v>
      </c>
      <c r="U148" s="10"/>
      <c r="V148" s="10"/>
      <c r="W148" s="10"/>
      <c r="X148" s="10"/>
      <c r="Y148" s="10"/>
      <c r="Z148" s="10"/>
    </row>
    <row r="149" spans="12:26" x14ac:dyDescent="0.3">
      <c r="L149" s="6" t="str">
        <f>CONCATENATE("STB  ","NBS ", U148," ", T149," in. HS ",M149,"in x ",N149,"in  - ",O149, " # ", P133)</f>
        <v xml:space="preserve">STB  NBS  22 in. HS 11in x 3in  - 300 # </v>
      </c>
      <c r="M149" s="10">
        <v>11</v>
      </c>
      <c r="N149" s="10">
        <v>3</v>
      </c>
      <c r="O149" s="10">
        <v>300</v>
      </c>
      <c r="P149" s="10"/>
      <c r="Q149" s="10"/>
      <c r="R149" s="10"/>
      <c r="S149" s="10"/>
      <c r="T149" s="10">
        <v>22</v>
      </c>
      <c r="U149" s="10" t="s">
        <v>66</v>
      </c>
      <c r="V149" s="10" t="s">
        <v>33</v>
      </c>
      <c r="W149" s="10"/>
      <c r="X149" s="10">
        <v>6.99</v>
      </c>
      <c r="Y149" s="10">
        <v>1200</v>
      </c>
      <c r="Z149" s="10" t="s">
        <v>61</v>
      </c>
    </row>
    <row r="150" spans="12:26" x14ac:dyDescent="0.3">
      <c r="L150" s="6" t="str">
        <f>CONCATENATE("STB  ",U149," ", T150," in. HS ",M150,"in x ",N150,"in  - ",O150, " # ", P140)</f>
        <v xml:space="preserve">STB  NBS 16 in. HS 9.5in x 2.813in  - 171.7 # </v>
      </c>
      <c r="M150" s="10">
        <v>9.5</v>
      </c>
      <c r="N150" s="10">
        <v>2.8130000000000002</v>
      </c>
      <c r="O150" s="10">
        <f>ROUND((Y149/X149),1)</f>
        <v>171.7</v>
      </c>
      <c r="P150" s="10"/>
      <c r="Q150" s="10"/>
      <c r="R150" s="10"/>
      <c r="S150" s="10"/>
      <c r="T150" s="10">
        <v>16</v>
      </c>
      <c r="U150" s="10" t="s">
        <v>67</v>
      </c>
      <c r="V150" s="10" t="s">
        <v>33</v>
      </c>
      <c r="W150" s="10"/>
      <c r="X150" s="10">
        <v>6.99</v>
      </c>
      <c r="Y150" s="10">
        <v>1200</v>
      </c>
      <c r="Z150" s="10" t="s">
        <v>61</v>
      </c>
    </row>
    <row r="151" spans="12:26" x14ac:dyDescent="0.3">
      <c r="L151" s="6" t="str">
        <f>CONCATENATE("STB  ",U150," ", T151," in. HS ",M151,"in x ",N151,"in  - ",O151, " # ", P141)</f>
        <v xml:space="preserve">STB  SS 16 in. HS 9.5in x 2.813in  - 171.7 # </v>
      </c>
      <c r="M151" s="10">
        <v>9.5</v>
      </c>
      <c r="N151" s="10">
        <v>2.8130000000000002</v>
      </c>
      <c r="O151" s="10">
        <f>ROUND((Y150/X150),1)</f>
        <v>171.7</v>
      </c>
      <c r="P151" s="10"/>
      <c r="Q151" s="10"/>
      <c r="R151" s="10"/>
      <c r="S151" s="10"/>
      <c r="T151" s="10">
        <v>16</v>
      </c>
      <c r="U151" s="10"/>
      <c r="V151" s="10"/>
      <c r="W151" s="10"/>
      <c r="X151" s="10"/>
      <c r="Y151" s="10"/>
      <c r="Z151" s="10"/>
    </row>
    <row r="152" spans="12:26" x14ac:dyDescent="0.3">
      <c r="L152" s="6" t="str">
        <f>CONCATENATE("STB  ","STR ", U151," ", T152," in. HS ",M152,"in x ",N152,"in  - ",O152, " # ", P136)</f>
        <v xml:space="preserve">STB  STR  22 in. HS 11in x 3in  - 300 # </v>
      </c>
      <c r="M152" s="10">
        <v>11</v>
      </c>
      <c r="N152" s="10">
        <v>3</v>
      </c>
      <c r="O152" s="10">
        <v>300</v>
      </c>
      <c r="P152" s="10"/>
      <c r="Q152" s="10"/>
      <c r="R152" s="10"/>
      <c r="S152" s="10"/>
      <c r="T152" s="10">
        <v>22</v>
      </c>
      <c r="U152" s="10"/>
      <c r="V152" s="10"/>
      <c r="W152" s="10"/>
      <c r="X152" s="10"/>
      <c r="Y152" s="10"/>
      <c r="Z152" s="10"/>
    </row>
    <row r="153" spans="12:26" x14ac:dyDescent="0.3">
      <c r="L153" s="6" t="str">
        <f>CONCATENATE("SUB ",M153," Float Sub")</f>
        <v>SUB 4.75 Float Sub</v>
      </c>
      <c r="M153" s="10">
        <v>4.75</v>
      </c>
      <c r="N153" s="10">
        <v>2.25</v>
      </c>
      <c r="O153" s="10">
        <v>46.84</v>
      </c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2:26" x14ac:dyDescent="0.3">
      <c r="L154" s="6" t="str">
        <f>CONCATENATE("SUB ",M154," Float Sub Non ported FV")</f>
        <v>SUB 4.75 Float Sub Non ported FV</v>
      </c>
      <c r="M154" s="10">
        <v>4.75</v>
      </c>
      <c r="N154" s="10">
        <v>2.16</v>
      </c>
      <c r="O154" s="10">
        <v>31.94</v>
      </c>
      <c r="P154" s="10"/>
      <c r="Q154" s="10"/>
      <c r="R154" s="10"/>
      <c r="S154" s="10"/>
      <c r="T154" s="10"/>
      <c r="U154" s="10"/>
      <c r="V154" s="10"/>
      <c r="W154" s="10"/>
      <c r="X154" s="10">
        <v>3</v>
      </c>
      <c r="Y154" s="10"/>
      <c r="Z154" s="10"/>
    </row>
    <row r="155" spans="12:26" x14ac:dyDescent="0.3">
      <c r="L155" s="8" t="s">
        <v>68</v>
      </c>
      <c r="M155" s="10">
        <v>4.75</v>
      </c>
      <c r="N155" s="10">
        <v>1.25</v>
      </c>
      <c r="O155" s="10">
        <v>56.21</v>
      </c>
      <c r="P155" s="10"/>
      <c r="Q155" s="10"/>
      <c r="R155" s="10"/>
      <c r="S155" s="10"/>
      <c r="T155" s="10"/>
      <c r="U155" s="8"/>
      <c r="V155" s="8"/>
      <c r="W155" s="8"/>
      <c r="X155" s="8"/>
      <c r="Y155" s="8"/>
      <c r="Z155" s="8"/>
    </row>
    <row r="156" spans="12:26" x14ac:dyDescent="0.3">
      <c r="L156" s="8" t="s">
        <v>69</v>
      </c>
      <c r="M156" s="8">
        <v>4.75</v>
      </c>
      <c r="N156" s="8">
        <v>2.25</v>
      </c>
      <c r="O156" s="8">
        <v>46.84</v>
      </c>
      <c r="P156" s="8"/>
      <c r="Q156" s="8"/>
      <c r="R156" s="8"/>
      <c r="S156" s="8"/>
      <c r="T156" s="8"/>
      <c r="U156" s="10"/>
      <c r="V156" s="10"/>
      <c r="W156" s="10"/>
      <c r="X156" s="10"/>
      <c r="Y156" s="10"/>
      <c r="Z156" s="10"/>
    </row>
    <row r="157" spans="12:26" x14ac:dyDescent="0.3">
      <c r="L157" s="6" t="str">
        <f>CONCATENATE("SUB ",M157," Float Sub")</f>
        <v>SUB 6.75 Float Sub</v>
      </c>
      <c r="M157" s="10">
        <v>6.75</v>
      </c>
      <c r="N157" s="10">
        <v>2.875</v>
      </c>
      <c r="O157" s="10">
        <v>99.83</v>
      </c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2:26" x14ac:dyDescent="0.3">
      <c r="L158" s="6" t="str">
        <f>CONCATENATE("SUB ",M158,"in Float Sub")</f>
        <v>SUB 8.25in Float Sub</v>
      </c>
      <c r="M158" s="10">
        <v>8.25</v>
      </c>
      <c r="N158" s="10">
        <v>3</v>
      </c>
      <c r="O158" s="10">
        <v>157.1</v>
      </c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2:26" x14ac:dyDescent="0.3">
      <c r="L159" s="6" t="str">
        <f>CONCATENATE("SUB ",M159,"in Filter Sub")</f>
        <v>SUB 8in Filter Sub</v>
      </c>
      <c r="M159" s="10">
        <v>8</v>
      </c>
      <c r="N159" s="10">
        <v>3</v>
      </c>
      <c r="O159" s="10">
        <v>146.30000000000001</v>
      </c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2:26" x14ac:dyDescent="0.3">
      <c r="L160" s="6" t="str">
        <f>CONCATENATE("SUB ",M160,"in Filter Sub")</f>
        <v>SUB 6.75in Filter Sub</v>
      </c>
      <c r="M160" s="10">
        <v>6.75</v>
      </c>
      <c r="N160" s="10">
        <v>3.25</v>
      </c>
      <c r="O160" s="10">
        <f>Y160/X160</f>
        <v>107.48466856049062</v>
      </c>
      <c r="P160" s="10"/>
      <c r="Q160" s="10"/>
      <c r="R160" s="10"/>
      <c r="S160" s="10"/>
      <c r="T160" s="10"/>
      <c r="U160" s="10"/>
      <c r="V160" s="10"/>
      <c r="W160" s="10"/>
      <c r="X160" s="10">
        <f>2.5*K111</f>
        <v>8.2020999999999997</v>
      </c>
      <c r="Y160" s="10">
        <f>400*K110</f>
        <v>881.6</v>
      </c>
      <c r="Z160" s="10"/>
    </row>
    <row r="161" spans="12:26" x14ac:dyDescent="0.3">
      <c r="L161" s="6" t="str">
        <f>CONCATENATE("SUB SCREEN ",M161," x ", N161)</f>
        <v>SUB SCREEN 4.75 x 2.25</v>
      </c>
      <c r="M161" s="10">
        <v>4.75</v>
      </c>
      <c r="N161" s="10">
        <v>2.25</v>
      </c>
      <c r="O161" s="10">
        <v>46.84</v>
      </c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2:26" x14ac:dyDescent="0.3">
      <c r="L162" s="6" t="str">
        <f>CONCATENATE("SUB SCREEN ",M162," x ", N162)</f>
        <v>SUB SCREEN 4.75 x 2.8125</v>
      </c>
      <c r="M162" s="10">
        <v>4.75</v>
      </c>
      <c r="N162" s="10">
        <v>2.8125</v>
      </c>
      <c r="O162" s="10">
        <v>46.1</v>
      </c>
      <c r="P162" s="10"/>
      <c r="Q162" s="10"/>
      <c r="R162" s="10"/>
      <c r="S162" s="10"/>
      <c r="T162" s="10"/>
      <c r="U162" s="10"/>
      <c r="V162" s="10"/>
      <c r="W162" s="10"/>
      <c r="X162" s="10">
        <v>6.56</v>
      </c>
      <c r="Y162" s="10"/>
      <c r="Z162" s="10"/>
    </row>
    <row r="163" spans="12:26" x14ac:dyDescent="0.3">
      <c r="L163" s="6" t="str">
        <f>CONCATENATE("SUB SCREEN ",M163," x ", N163)</f>
        <v>SUB SCREEN 5 x 2.25</v>
      </c>
      <c r="M163" s="10">
        <v>5</v>
      </c>
      <c r="N163" s="10">
        <v>2.25</v>
      </c>
      <c r="O163" s="10">
        <v>53.37</v>
      </c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2:26" x14ac:dyDescent="0.3">
      <c r="L164" s="6" t="str">
        <f>CONCATENATE("SUB SCREEN ",M164," x ", N164)</f>
        <v>SUB SCREEN 6.75 x 3.5</v>
      </c>
      <c r="M164" s="10">
        <v>6.75</v>
      </c>
      <c r="N164" s="10">
        <v>3.5</v>
      </c>
      <c r="O164" s="10">
        <v>89.17</v>
      </c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2:26" x14ac:dyDescent="0.3">
      <c r="L165" s="6" t="str">
        <f>CONCATENATE("SUB SCREEN ",M165," x ", N165)</f>
        <v>SUB SCREEN 4.75 x 2</v>
      </c>
      <c r="M165" s="10">
        <v>4.75</v>
      </c>
      <c r="N165" s="10">
        <v>2</v>
      </c>
      <c r="O165" s="11">
        <f>ROUND((Y165/X165),2)</f>
        <v>49.37</v>
      </c>
      <c r="P165" s="10"/>
      <c r="Q165" s="10"/>
      <c r="R165" s="10"/>
      <c r="S165" s="10"/>
      <c r="T165" s="10"/>
      <c r="U165" s="10"/>
      <c r="V165" s="10"/>
      <c r="W165" s="10"/>
      <c r="X165" s="10">
        <v>7.12</v>
      </c>
      <c r="Y165" s="10">
        <v>351.52</v>
      </c>
      <c r="Z165" s="10" t="s">
        <v>70</v>
      </c>
    </row>
    <row r="166" spans="12:26" x14ac:dyDescent="0.3">
      <c r="L166" s="6" t="str">
        <f>CONCATENATE("SUB CIRC ",M166," x ", N166)</f>
        <v>SUB CIRC 4.75 x 2.16</v>
      </c>
      <c r="M166" s="10">
        <v>4.75</v>
      </c>
      <c r="N166" s="10">
        <v>2.16</v>
      </c>
      <c r="O166" s="10">
        <v>34.74</v>
      </c>
      <c r="P166" s="10"/>
      <c r="Q166" s="10"/>
      <c r="R166" s="10"/>
      <c r="S166" s="10"/>
      <c r="T166" s="10"/>
      <c r="U166" s="10"/>
      <c r="V166" s="10"/>
      <c r="W166" s="10"/>
      <c r="X166" s="10">
        <v>5.91</v>
      </c>
      <c r="Y166" s="10"/>
      <c r="Z166" s="10" t="s">
        <v>71</v>
      </c>
    </row>
    <row r="167" spans="12:26" x14ac:dyDescent="0.3">
      <c r="L167" s="6" t="str">
        <f>CONCATENATE("SUB CIRC ",M167," x ", N167)</f>
        <v>SUB CIRC 6.75 x 1.27</v>
      </c>
      <c r="M167" s="10">
        <v>6.75</v>
      </c>
      <c r="N167" s="10">
        <v>1.27</v>
      </c>
      <c r="O167" s="10">
        <f>Y167/X167</f>
        <v>99.52284125971353</v>
      </c>
      <c r="P167" s="10"/>
      <c r="Q167" s="10"/>
      <c r="R167" s="10"/>
      <c r="S167" s="10"/>
      <c r="T167" s="10"/>
      <c r="U167" s="10"/>
      <c r="V167" s="10"/>
      <c r="W167" s="10"/>
      <c r="X167" s="10">
        <f>2.7*K111</f>
        <v>8.8582680000000007</v>
      </c>
      <c r="Y167" s="10">
        <f>0.4*K110*1000</f>
        <v>881.60000000000014</v>
      </c>
      <c r="Z167" s="10" t="s">
        <v>71</v>
      </c>
    </row>
    <row r="168" spans="12:26" x14ac:dyDescent="0.3">
      <c r="L168" s="6" t="str">
        <f>CONCATENATE("SUB C-LINK ",M168," x ", N168)</f>
        <v>SUB C-LINK 6.75 x 2.813</v>
      </c>
      <c r="M168" s="10">
        <v>6.75</v>
      </c>
      <c r="N168" s="10">
        <v>2.8130000000000002</v>
      </c>
      <c r="O168" s="10">
        <f>Y168/X168</f>
        <v>99.155598303035632</v>
      </c>
      <c r="P168" s="10"/>
      <c r="Q168" s="10"/>
      <c r="R168" s="10"/>
      <c r="S168" s="10"/>
      <c r="T168" s="10"/>
      <c r="U168" s="10"/>
      <c r="V168" s="10"/>
      <c r="W168" s="10"/>
      <c r="X168" s="10">
        <f>2.71*K111</f>
        <v>8.8910763999999993</v>
      </c>
      <c r="Y168" s="10">
        <f>400*K110</f>
        <v>881.6</v>
      </c>
      <c r="Z168" s="10"/>
    </row>
    <row r="169" spans="12:26" x14ac:dyDescent="0.3">
      <c r="L169" s="6" t="str">
        <f>CONCATENATE("UBHO ",M169,"in")</f>
        <v>UBHO 6.53125in</v>
      </c>
      <c r="M169" s="10">
        <v>6.53125</v>
      </c>
      <c r="N169" s="10">
        <v>2.875</v>
      </c>
      <c r="O169" s="10">
        <v>88.93</v>
      </c>
      <c r="P169" s="10"/>
      <c r="Q169" s="10"/>
      <c r="R169" s="10"/>
      <c r="S169" s="10"/>
      <c r="T169" s="10"/>
      <c r="U169" s="10"/>
      <c r="V169" s="10"/>
      <c r="W169" s="10"/>
      <c r="X169" s="10">
        <f>0.68*3.28084</f>
        <v>2.2309711999999999</v>
      </c>
      <c r="Y169" s="10">
        <f>0.09*2204.6226</f>
        <v>198.416034</v>
      </c>
      <c r="Z169" s="10"/>
    </row>
    <row r="170" spans="12:26" x14ac:dyDescent="0.3">
      <c r="L170" s="6" t="str">
        <f>CONCATENATE("XO  ",M170,"in ",P170," x ",N170,W170,"  - ",O170, " # ", P131)</f>
        <v xml:space="preserve">XO  4.08in  x 2.16  - 31.94 # </v>
      </c>
      <c r="M170" s="10">
        <v>4.08</v>
      </c>
      <c r="N170" s="10">
        <v>2.16</v>
      </c>
      <c r="O170" s="10">
        <v>31.94</v>
      </c>
      <c r="P170" s="10"/>
      <c r="Q170" s="10"/>
      <c r="R170" s="10"/>
      <c r="S170" s="10"/>
      <c r="T170" s="10"/>
      <c r="U170" s="10"/>
      <c r="V170" s="10"/>
      <c r="W170" s="10"/>
      <c r="X170" s="10">
        <v>2.99</v>
      </c>
      <c r="Y170" s="10"/>
      <c r="Z170" s="10"/>
    </row>
    <row r="171" spans="12:26" x14ac:dyDescent="0.3">
      <c r="L171" s="6" t="str">
        <f>CONCATENATE("XO  ",M171,"in ",P171," x ",N171,W171,"  - ",O171, " # ", P132)</f>
        <v xml:space="preserve">XO  4in  x 1.25  - 43.93 # </v>
      </c>
      <c r="M171" s="10">
        <v>4</v>
      </c>
      <c r="N171" s="10">
        <v>1.25</v>
      </c>
      <c r="O171" s="11">
        <f>ROUND((Y171/X171),2)</f>
        <v>43.93</v>
      </c>
      <c r="P171" s="10"/>
      <c r="Q171" s="10"/>
      <c r="R171" s="10"/>
      <c r="S171" s="10"/>
      <c r="T171" s="10"/>
      <c r="U171" s="10"/>
      <c r="V171" s="10"/>
      <c r="W171" s="10"/>
      <c r="X171" s="10">
        <v>1.18</v>
      </c>
      <c r="Y171" s="10">
        <v>51.84</v>
      </c>
      <c r="Z171" s="10"/>
    </row>
    <row r="172" spans="12:26" x14ac:dyDescent="0.3">
      <c r="L172" s="6" t="str">
        <f>CONCATENATE("XO  ",M172,"in ",P172," x ",W172,"  - ",O172, " # ", P133)</f>
        <v xml:space="preserve">XO  6.625in 4 1/2" IF x 4  - 89.21 # </v>
      </c>
      <c r="M172" s="10">
        <v>6.625</v>
      </c>
      <c r="N172" s="10">
        <v>3.25</v>
      </c>
      <c r="O172" s="10">
        <v>89.21</v>
      </c>
      <c r="P172" s="10" t="s">
        <v>72</v>
      </c>
      <c r="Q172" s="10"/>
      <c r="R172" s="10"/>
      <c r="S172" s="10"/>
      <c r="T172" s="10"/>
      <c r="U172" s="10"/>
      <c r="V172" s="10"/>
      <c r="W172" s="10">
        <v>4</v>
      </c>
      <c r="X172" s="10"/>
      <c r="Y172" s="10"/>
      <c r="Z172" s="10"/>
    </row>
    <row r="173" spans="12:26" x14ac:dyDescent="0.3">
      <c r="L173" s="6" t="str">
        <f>CONCATENATE("XO  ",M173,"in ",P173," x ",W173,"  - ",O173, " # ", P134)</f>
        <v xml:space="preserve">XO  5in 5 1/2" FH x 5.5  - 38.64 # </v>
      </c>
      <c r="M173" s="10">
        <v>5</v>
      </c>
      <c r="N173" s="10">
        <v>3.25</v>
      </c>
      <c r="O173" s="10">
        <v>38.64</v>
      </c>
      <c r="P173" s="10" t="s">
        <v>73</v>
      </c>
      <c r="Q173" s="10"/>
      <c r="R173" s="10"/>
      <c r="S173" s="10"/>
      <c r="T173" s="10"/>
      <c r="U173" s="10"/>
      <c r="V173" s="10"/>
      <c r="W173" s="10">
        <v>5.5</v>
      </c>
      <c r="X173" s="10"/>
      <c r="Y173" s="10"/>
      <c r="Z173" s="10"/>
    </row>
    <row r="174" spans="12:26" x14ac:dyDescent="0.3">
      <c r="L174" s="6" t="str">
        <f>CONCATENATE("XO  ",M174,"in ",P174," x ",W174,"  - ",O174, " # ", P135)</f>
        <v xml:space="preserve">XO  6.625in  x 5  - 83.4 # </v>
      </c>
      <c r="M174" s="10">
        <v>6.625</v>
      </c>
      <c r="N174" s="10">
        <v>5.5</v>
      </c>
      <c r="O174" s="10">
        <v>83.4</v>
      </c>
      <c r="P174" s="10"/>
      <c r="Q174" s="10"/>
      <c r="R174" s="10"/>
      <c r="S174" s="10"/>
      <c r="T174" s="10"/>
      <c r="U174" s="10"/>
      <c r="V174" s="10"/>
      <c r="W174" s="10">
        <v>5</v>
      </c>
      <c r="X174" s="10"/>
      <c r="Y174" s="10"/>
      <c r="Z174" s="10"/>
    </row>
    <row r="175" spans="12:26" x14ac:dyDescent="0.3">
      <c r="L175" s="6" t="str">
        <f>CONCATENATE("XO  ",M175,"in ",P175," x ",W175,"  - ",O175, " # ", P136)</f>
        <v xml:space="preserve">XO  6.625in  x 5.5  - 170 # </v>
      </c>
      <c r="M175" s="10">
        <v>6.625</v>
      </c>
      <c r="N175" s="10">
        <v>2.625</v>
      </c>
      <c r="O175" s="10">
        <v>170</v>
      </c>
      <c r="P175" s="10"/>
      <c r="Q175" s="10"/>
      <c r="R175" s="10"/>
      <c r="S175" s="10"/>
      <c r="T175" s="10"/>
      <c r="U175" s="10"/>
      <c r="V175" s="10"/>
      <c r="W175" s="10">
        <v>5.5</v>
      </c>
      <c r="X175" s="10">
        <v>2.63</v>
      </c>
      <c r="Y175" s="10"/>
      <c r="Z175" s="10"/>
    </row>
    <row r="176" spans="12:26" x14ac:dyDescent="0.3">
      <c r="L176" s="6" t="str">
        <f>CONCATENATE("XO  ",M176,"in ",P176," x ",W176,"  - ",O176, " # ", P136)</f>
        <v xml:space="preserve">XO  8.25in  x 5  - 157.8 # </v>
      </c>
      <c r="M176" s="10">
        <v>8.25</v>
      </c>
      <c r="N176" s="10">
        <v>2.875</v>
      </c>
      <c r="O176" s="10">
        <v>157.80000000000001</v>
      </c>
      <c r="P176" s="10"/>
      <c r="Q176" s="10"/>
      <c r="R176" s="10"/>
      <c r="S176" s="10"/>
      <c r="T176" s="10"/>
      <c r="U176" s="10"/>
      <c r="V176" s="10"/>
      <c r="W176" s="10">
        <v>5</v>
      </c>
      <c r="X176" s="10"/>
      <c r="Y176" s="10"/>
      <c r="Z176" s="10"/>
    </row>
    <row r="177" spans="12:26" x14ac:dyDescent="0.3">
      <c r="L177" s="6" t="str">
        <f>CONCATENATE("XO  ",M177,"in ",P177," x ",W177,"  - ",O177, " # ", P137)</f>
        <v xml:space="preserve">XO  8.25in  x 6.625  - 172 # </v>
      </c>
      <c r="M177" s="10">
        <v>8.25</v>
      </c>
      <c r="N177" s="10">
        <v>2.5</v>
      </c>
      <c r="O177" s="10">
        <v>172</v>
      </c>
      <c r="P177" s="10"/>
      <c r="Q177" s="10"/>
      <c r="R177" s="10"/>
      <c r="S177" s="10"/>
      <c r="T177" s="10"/>
      <c r="U177" s="10"/>
      <c r="V177" s="10"/>
      <c r="W177" s="10">
        <v>6.625</v>
      </c>
      <c r="X177" s="10"/>
      <c r="Y177" s="10"/>
      <c r="Z177" s="10"/>
    </row>
    <row r="178" spans="12:26" x14ac:dyDescent="0.3">
      <c r="L178" s="6" t="str">
        <f>CONCATENATE("XO  ",M178,"in ",P178," x ",W178,"  - ",O178, " # ", P139)</f>
        <v xml:space="preserve">XO  8.25in  x   - 157.1 # </v>
      </c>
      <c r="M178" s="10">
        <v>8.25</v>
      </c>
      <c r="N178" s="10">
        <v>3</v>
      </c>
      <c r="O178" s="10">
        <v>157.1</v>
      </c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2:26" x14ac:dyDescent="0.3">
      <c r="L179" s="6" t="str">
        <f>CONCATENATE("XO  ",M179,"in ",P179," x ",W179,"  - ",O179, " # ", P140)</f>
        <v xml:space="preserve">XO  8.5in  x 6.625  - 157.1 # </v>
      </c>
      <c r="M179" s="10">
        <v>8.5</v>
      </c>
      <c r="N179" s="10">
        <v>2.8125</v>
      </c>
      <c r="O179" s="10">
        <v>157.1</v>
      </c>
      <c r="P179" s="10"/>
      <c r="Q179" s="10"/>
      <c r="R179" s="10"/>
      <c r="S179" s="10"/>
      <c r="T179" s="10"/>
      <c r="U179" s="10"/>
      <c r="V179" s="10"/>
      <c r="W179" s="10">
        <v>6.625</v>
      </c>
      <c r="X179" s="10">
        <v>3.1</v>
      </c>
      <c r="Y179" s="10"/>
      <c r="Z179" s="10"/>
    </row>
    <row r="180" spans="12:26" x14ac:dyDescent="0.3">
      <c r="L180" s="6" t="str">
        <f>CONCATENATE("XO  ",M180,"in ",P180," x ",W180,"  - ",O180, " # ", P140)</f>
        <v xml:space="preserve">XO  9.5in  x 8.5  - 216 # </v>
      </c>
      <c r="M180" s="10">
        <v>9.5</v>
      </c>
      <c r="N180" s="10">
        <v>3</v>
      </c>
      <c r="O180" s="10">
        <v>216</v>
      </c>
      <c r="P180" s="10"/>
      <c r="Q180" s="10"/>
      <c r="R180" s="10"/>
      <c r="S180" s="10"/>
      <c r="T180" s="10"/>
      <c r="U180" s="10"/>
      <c r="V180" s="10"/>
      <c r="W180" s="10">
        <v>8.5</v>
      </c>
      <c r="X180" s="10">
        <v>2.76</v>
      </c>
      <c r="Y180" s="10"/>
      <c r="Z180" s="10"/>
    </row>
    <row r="181" spans="12:26" x14ac:dyDescent="0.3">
      <c r="L181" s="6" t="str">
        <f>CONCATENATE("XO  ",M181,"in ",P181," x ",W181,"  - ",O181, " # ", P141)</f>
        <v xml:space="preserve">XO  5in P 4" HT38 x B NC 38  - 62.73 # </v>
      </c>
      <c r="M181" s="10">
        <v>5</v>
      </c>
      <c r="N181" s="10">
        <v>1.25</v>
      </c>
      <c r="O181" s="10">
        <v>62.73</v>
      </c>
      <c r="P181" s="10" t="s">
        <v>74</v>
      </c>
      <c r="Q181" s="10"/>
      <c r="R181" s="10"/>
      <c r="S181" s="10"/>
      <c r="T181" s="10"/>
      <c r="U181" s="10"/>
      <c r="V181" s="10"/>
      <c r="W181" s="10" t="s">
        <v>75</v>
      </c>
      <c r="X181" s="10"/>
      <c r="Y181" s="10"/>
      <c r="Z181" s="10"/>
    </row>
    <row r="182" spans="12:26" x14ac:dyDescent="0.3">
      <c r="L182" s="6" t="str">
        <f>CONCATENATE("XO  ",M182,"in ",P182," x ",W182,"  - ",O182, " # ", P142)</f>
        <v xml:space="preserve">XO  4.75in P NC 38 x B 4" ST39  - 38.27 # </v>
      </c>
      <c r="M182" s="10">
        <v>4.75</v>
      </c>
      <c r="N182" s="10">
        <v>2.875</v>
      </c>
      <c r="O182" s="10">
        <v>38.270000000000003</v>
      </c>
      <c r="P182" s="10" t="s">
        <v>76</v>
      </c>
      <c r="Q182" s="10"/>
      <c r="R182" s="10"/>
      <c r="S182" s="10"/>
      <c r="T182" s="10"/>
      <c r="U182" s="10"/>
      <c r="V182" s="10"/>
      <c r="W182" s="10" t="s">
        <v>77</v>
      </c>
      <c r="X182" s="10"/>
      <c r="Y182" s="10"/>
      <c r="Z182" s="10"/>
    </row>
    <row r="183" spans="12:26" x14ac:dyDescent="0.3">
      <c r="L183" s="6" t="str">
        <f>CONCATENATE("XO  ",M183,"in ",P183," x ",W183,"  - ",O183, " # ", P143)</f>
        <v xml:space="preserve">XO  10in  x 5 1/2" FH  - 240 # </v>
      </c>
      <c r="M183" s="10">
        <v>10</v>
      </c>
      <c r="N183" s="10">
        <v>3</v>
      </c>
      <c r="O183" s="10">
        <v>240</v>
      </c>
      <c r="P183" s="10"/>
      <c r="Q183" s="10"/>
      <c r="R183" s="10"/>
      <c r="S183" s="10"/>
      <c r="T183" s="10"/>
      <c r="U183" s="10"/>
      <c r="V183" s="10"/>
      <c r="W183" s="10" t="s">
        <v>73</v>
      </c>
      <c r="X183" s="10"/>
      <c r="Y183" s="10"/>
      <c r="Z183" s="10"/>
    </row>
    <row r="184" spans="12:26" x14ac:dyDescent="0.3">
      <c r="L184" s="6" t="str">
        <f>CONCATENATE("DP ", M184,"in x ",N184,"in  - ",Q184, " # ", P184, " Grade G",T184)</f>
        <v>DP 3.5in x 2.764in  - 13.3 # NC38(IF) Grade G</v>
      </c>
      <c r="M184" s="6">
        <v>3.5</v>
      </c>
      <c r="N184" s="6">
        <v>2.7639999999999998</v>
      </c>
      <c r="O184" s="7">
        <v>14.49</v>
      </c>
      <c r="P184" s="8" t="s">
        <v>37</v>
      </c>
      <c r="Q184" s="7">
        <v>13.3</v>
      </c>
      <c r="R184" s="6">
        <v>5</v>
      </c>
      <c r="S184" s="9">
        <v>2.4375</v>
      </c>
      <c r="T184" s="8"/>
      <c r="U184" s="10"/>
      <c r="V184" s="10"/>
      <c r="W184" s="10"/>
      <c r="X184" s="10"/>
      <c r="Y184" s="10"/>
      <c r="Z184" s="10"/>
    </row>
    <row r="185" spans="12:26" x14ac:dyDescent="0.3">
      <c r="L185" s="6" t="str">
        <f t="shared" ref="L185:L186" si="11">CONCATENATE("DP ", M185,"in x ",N185,"in  - ",Q185, " # ", P185, " Grade ",T185)</f>
        <v xml:space="preserve">DP 5in x 4.276in  - 19.5 # NC50(XH) Grade </v>
      </c>
      <c r="M185" s="6">
        <v>5</v>
      </c>
      <c r="N185" s="6">
        <v>4.2759999999999998</v>
      </c>
      <c r="O185" s="8">
        <v>21.92</v>
      </c>
      <c r="P185" s="8" t="s">
        <v>26</v>
      </c>
      <c r="Q185" s="7">
        <v>19.5</v>
      </c>
      <c r="R185" s="6">
        <v>6.5</v>
      </c>
      <c r="S185" s="9">
        <v>3.25</v>
      </c>
      <c r="T185" s="8"/>
      <c r="U185" s="10"/>
      <c r="V185" s="10"/>
      <c r="W185" s="10"/>
      <c r="X185" s="10"/>
      <c r="Y185" s="10"/>
      <c r="Z185" s="10"/>
    </row>
    <row r="186" spans="12:26" x14ac:dyDescent="0.3">
      <c r="L186" s="6" t="str">
        <f t="shared" si="11"/>
        <v xml:space="preserve">DP 4in x 3.34in  - 14 #  Grade </v>
      </c>
      <c r="M186" s="6">
        <v>4</v>
      </c>
      <c r="N186" s="6">
        <v>3.34</v>
      </c>
      <c r="O186" s="7">
        <v>15.55</v>
      </c>
      <c r="P186" s="8"/>
      <c r="Q186" s="7">
        <v>14</v>
      </c>
      <c r="R186" s="6">
        <v>5.5</v>
      </c>
      <c r="S186" s="9">
        <v>2.8125</v>
      </c>
      <c r="U186" s="10"/>
      <c r="V186" s="10"/>
      <c r="W186" s="10"/>
      <c r="X186" s="10"/>
      <c r="Y186" s="10"/>
      <c r="Z186" s="10"/>
    </row>
  </sheetData>
  <conditionalFormatting sqref="L154:L157">
    <cfRule type="expression" dxfId="5" priority="5">
      <formula>BA107=2</formula>
    </cfRule>
  </conditionalFormatting>
  <conditionalFormatting sqref="M182:N182">
    <cfRule type="expression" dxfId="4" priority="3">
      <formula>BJ137=2</formula>
    </cfRule>
  </conditionalFormatting>
  <conditionalFormatting sqref="O182">
    <cfRule type="expression" dxfId="3" priority="4">
      <formula>BJ139=2</formula>
    </cfRule>
  </conditionalFormatting>
  <conditionalFormatting sqref="L161 L163">
    <cfRule type="expression" dxfId="2" priority="6">
      <formula>BA111=2</formula>
    </cfRule>
  </conditionalFormatting>
  <conditionalFormatting sqref="L158:L160">
    <cfRule type="expression" dxfId="1" priority="2">
      <formula>BA111=2</formula>
    </cfRule>
  </conditionalFormatting>
  <conditionalFormatting sqref="L162">
    <cfRule type="expression" dxfId="0" priority="1">
      <formula>BA114=2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HAMILTON</dc:creator>
  <cp:lastModifiedBy>Rob HAMILTON</cp:lastModifiedBy>
  <dcterms:created xsi:type="dcterms:W3CDTF">2026-08-06T14:13:30Z</dcterms:created>
  <dcterms:modified xsi:type="dcterms:W3CDTF">2026-08-06T14:15:47Z</dcterms:modified>
</cp:coreProperties>
</file>